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_Parametreler" sheetId="1" state="hidden" r:id="rId1"/>
    <sheet name="Veri Girişi" sheetId="2" state="visible" r:id="rId2"/>
    <sheet name="Ana Sayfa" sheetId="3" state="visible" r:id="rId3"/>
    <sheet name="Bodrum Takip" sheetId="4" state="visible" r:id="rId4"/>
    <sheet name="Üst Kat Takip" sheetId="5" state="visible" r:id="rId5"/>
    <sheet name="Hakediş Takip" sheetId="6" state="visible" r:id="rId6"/>
    <sheet name="Ekip &amp; Puantaj" sheetId="7" state="visible" r:id="rId7"/>
    <sheet name="KPI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.MM.YYYY"/>
    <numFmt numFmtId="165" formatCode="0.0%"/>
    <numFmt numFmtId="166" formatCode="#,##0 &quot;TL&quot;"/>
  </numFmts>
  <fonts count="16">
    <font>
      <name val="Calibri"/>
      <family val="2"/>
      <color theme="1"/>
      <sz val="11"/>
      <scheme val="minor"/>
    </font>
    <font>
      <b val="1"/>
    </font>
    <font>
      <b val="1"/>
      <color rgb="001F4E79"/>
      <sz val="14"/>
    </font>
    <font>
      <name val="Calibri"/>
      <b val="1"/>
      <color rgb="00F5A623"/>
      <sz val="18"/>
    </font>
    <font>
      <name val="Calibri"/>
      <color rgb="008892A0"/>
      <sz val="10"/>
    </font>
    <font>
      <name val="Calibri"/>
      <b val="1"/>
      <color rgb="00F5A623"/>
      <sz val="9"/>
    </font>
    <font>
      <name val="Calibri"/>
      <b val="1"/>
      <color rgb="00F5A623"/>
      <sz val="20"/>
    </font>
    <font>
      <name val="Calibri"/>
      <color rgb="008892A0"/>
      <sz val="8"/>
    </font>
    <font>
      <name val="Calibri"/>
      <b val="1"/>
      <color rgb="00FFFFFF"/>
      <sz val="18"/>
    </font>
    <font>
      <name val="Calibri"/>
      <b val="1"/>
      <color rgb="00F5A623"/>
      <sz val="10"/>
    </font>
    <font>
      <name val="Calibri"/>
      <color rgb="008892A0"/>
      <sz val="9"/>
    </font>
    <font>
      <name val="Calibri"/>
      <color rgb="00FFFFFF"/>
      <sz val="9"/>
    </font>
    <font>
      <name val="Calibri"/>
      <b val="1"/>
      <color rgb="004ECDC4"/>
      <sz val="11"/>
    </font>
    <font>
      <name val="Calibri"/>
      <b val="1"/>
      <color rgb="00F5A623"/>
      <sz val="11"/>
    </font>
    <font>
      <name val="Calibri"/>
      <b val="1"/>
      <color rgb="004ECDC4"/>
      <sz val="12"/>
    </font>
    <font>
      <name val="Calibri"/>
      <color rgb="00E8E8E8"/>
      <sz val="9"/>
    </font>
  </fonts>
  <fills count="4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</fills>
  <borders count="2">
    <border>
      <left/>
      <right/>
      <top/>
      <bottom/>
      <diagonal/>
    </border>
    <border>
      <left style="thin">
        <color rgb="00334155"/>
      </left>
      <right style="thin">
        <color rgb="00334155"/>
      </right>
      <top style="thin">
        <color rgb="00334155"/>
      </top>
      <bottom style="thin">
        <color rgb="00334155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9" fontId="0" fillId="0" borderId="0" pivotButton="0" quotePrefix="0" xfId="0"/>
    <xf numFmtId="9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4" fillId="2" borderId="0" applyAlignment="1" pivotButton="0" quotePrefix="0" xfId="0">
      <alignment horizontal="center"/>
    </xf>
    <xf numFmtId="0" fontId="5" fillId="3" borderId="1" applyAlignment="1" pivotButton="0" quotePrefix="0" xfId="0">
      <alignment horizontal="center"/>
    </xf>
    <xf numFmtId="9" fontId="6" fillId="3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/>
    </xf>
    <xf numFmtId="0" fontId="9" fillId="2" borderId="0" pivotButton="0" quotePrefix="0" xfId="0"/>
    <xf numFmtId="0" fontId="10" fillId="2" borderId="0" pivotButton="0" quotePrefix="0" xfId="0"/>
    <xf numFmtId="0" fontId="11" fillId="2" borderId="0" pivotButton="0" quotePrefix="0" xfId="0"/>
    <xf numFmtId="9" fontId="12" fillId="3" borderId="0" applyAlignment="1" pivotButton="0" quotePrefix="0" xfId="0">
      <alignment horizontal="center"/>
    </xf>
    <xf numFmtId="165" fontId="9" fillId="2" borderId="0" pivotButton="0" quotePrefix="0" xfId="0"/>
    <xf numFmtId="165" fontId="11" fillId="2" borderId="0" pivotButton="0" quotePrefix="0" xfId="0"/>
    <xf numFmtId="9" fontId="0" fillId="2" borderId="0" pivotButton="0" quotePrefix="0" xfId="0"/>
    <xf numFmtId="0" fontId="13" fillId="2" borderId="0" pivotButton="0" quotePrefix="0" xfId="0"/>
    <xf numFmtId="9" fontId="14" fillId="2" borderId="0" pivotButton="0" quotePrefix="0" xfId="0"/>
    <xf numFmtId="0" fontId="7" fillId="2" borderId="0" pivotButton="0" quotePrefix="0" xfId="0"/>
    <xf numFmtId="0" fontId="15" fillId="3" borderId="0" applyAlignment="1" pivotButton="0" quotePrefix="0" xfId="0">
      <alignment vertical="top" wrapText="1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İş Kalemleri Dağılımı</a:t>
            </a:r>
          </a:p>
        </rich>
      </tx>
    </title>
    <plotArea>
      <doughnutChart>
        <varyColors val="1"/>
        <ser>
          <idx val="0"/>
          <order val="0"/>
          <spPr>
            <a:ln>
              <a:prstDash val="solid"/>
            </a:ln>
          </spPr>
          <cat>
            <numRef>
              <f>'Ana Sayfa'!$A$20:$A$24</f>
            </numRef>
          </cat>
          <val>
            <numRef>
              <f>'Ana Sayfa'!$B$20:$B$24</f>
            </numRef>
          </val>
        </ser>
        <firstSliceAng val="0"/>
        <holeSize val="55"/>
      </doughnut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Aylık Montaj Hedefi (m²)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'Ana Sayfa'!B20</f>
            </strRef>
          </tx>
          <spPr>
            <a:ln>
              <a:prstDash val="solid"/>
            </a:ln>
          </spPr>
          <cat>
            <numRef>
              <f>'Ana Sayfa'!$A$21:$A$28</f>
            </numRef>
          </cat>
          <val>
            <numRef>
              <f>'Ana Sayfa'!$B$21:$B$28</f>
            </numRef>
          </val>
        </ser>
        <ser>
          <idx val="1"/>
          <order val="1"/>
          <tx>
            <strRef>
              <f>'Ana Sayfa'!C20</f>
            </strRef>
          </tx>
          <spPr>
            <a:ln>
              <a:prstDash val="solid"/>
            </a:ln>
          </spPr>
          <cat>
            <numRef>
              <f>'Ana Sayfa'!$A$21:$A$28</f>
            </numRef>
          </cat>
          <val>
            <numRef>
              <f>'Ana Sayfa'!$C$21:$C$28</f>
            </numRef>
          </val>
        </ser>
        <ser>
          <idx val="2"/>
          <order val="2"/>
          <tx>
            <strRef>
              <f>'Ana Sayfa'!D20</f>
            </strRef>
          </tx>
          <spPr>
            <a:ln>
              <a:prstDash val="solid"/>
            </a:ln>
          </spPr>
          <cat>
            <numRef>
              <f>'Ana Sayfa'!$A$21:$A$28</f>
            </numRef>
          </cat>
          <val>
            <numRef>
              <f>'Ana Sayfa'!$D$21:$D$28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Kümülatif İlerleme (Plan)</a:t>
            </a:r>
          </a:p>
        </rich>
      </tx>
    </title>
    <plotArea>
      <lineChart>
        <grouping val="standard"/>
        <ser>
          <idx val="0"/>
          <order val="0"/>
          <tx>
            <strRef>
              <f>'Ana Sayfa'!F20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'Ana Sayfa'!$A$21:$A$28</f>
            </numRef>
          </cat>
          <val>
            <numRef>
              <f>'Ana Sayfa'!$F$21:$F$28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Aylık Personel Planlaması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'Ekip &amp; Puantaj'!B12</f>
            </strRef>
          </tx>
          <spPr>
            <a:ln>
              <a:prstDash val="solid"/>
            </a:ln>
          </spPr>
          <cat>
            <numRef>
              <f>'Ekip &amp; Puantaj'!$A$13:$A$20</f>
            </numRef>
          </cat>
          <val>
            <numRef>
              <f>'Ekip &amp; Puantaj'!$B$13:$B$20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8</row>
      <rowOff>0</rowOff>
    </from>
    <ext cx="39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19</row>
      <rowOff>0</rowOff>
    </from>
    <ext cx="648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5</col>
      <colOff>0</colOff>
      <row>34</row>
      <rowOff>0</rowOff>
    </from>
    <ext cx="648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Anahtar</t>
        </is>
      </c>
      <c r="B1" s="1" t="inlineStr">
        <is>
          <t>Değer</t>
        </is>
      </c>
    </row>
    <row r="2">
      <c r="A2" t="inlineStr">
        <is>
          <t>proje_adi</t>
        </is>
      </c>
      <c r="B2" t="inlineStr">
        <is>
          <t>Karşıyaka Ortaokulu (24 derslik)</t>
        </is>
      </c>
    </row>
    <row r="3">
      <c r="A3" t="inlineStr">
        <is>
          <t>proje_no</t>
        </is>
      </c>
      <c r="B3" t="inlineStr">
        <is>
          <t>MEBİZ.73-10-25-01-SU-001-R0</t>
        </is>
      </c>
    </row>
    <row r="4">
      <c r="A4" t="inlineStr">
        <is>
          <t>toplam_m2</t>
        </is>
      </c>
      <c r="B4" t="n">
        <v>11773.4</v>
      </c>
    </row>
    <row r="5">
      <c r="A5" t="inlineStr">
        <is>
          <t>baslangic</t>
        </is>
      </c>
      <c r="B5" t="inlineStr">
        <is>
          <t>01.09.2026</t>
        </is>
      </c>
    </row>
    <row r="6">
      <c r="A6" t="inlineStr">
        <is>
          <t>bitis</t>
        </is>
      </c>
      <c r="B6" t="inlineStr">
        <is>
          <t>15.04.2027</t>
        </is>
      </c>
    </row>
    <row r="7">
      <c r="A7" t="inlineStr">
        <is>
          <t>fiziki_bitis</t>
        </is>
      </c>
      <c r="B7" t="inlineStr">
        <is>
          <t>31.03.2027</t>
        </is>
      </c>
    </row>
    <row r="8">
      <c r="A8" t="inlineStr">
        <is>
          <t>ekip_pik</t>
        </is>
      </c>
      <c r="B8" t="n">
        <v>6</v>
      </c>
    </row>
    <row r="9">
      <c r="A9" t="inlineStr">
        <is>
          <t>sure_ay</t>
        </is>
      </c>
      <c r="B9" t="n">
        <v>7.5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8" customWidth="1" min="3" max="3"/>
    <col width="12" customWidth="1" min="4" max="4"/>
    <col width="22" customWidth="1" min="5" max="5"/>
    <col width="14" customWidth="1" min="6" max="6"/>
  </cols>
  <sheetData>
    <row r="1">
      <c r="A1" s="2" t="inlineStr">
        <is>
          <t>KALIP PROJE — VERİ GİRİŞİ &amp; İLERLEME TAKİBİ</t>
        </is>
      </c>
    </row>
    <row r="3">
      <c r="A3" s="1" t="inlineStr">
        <is>
          <t>Genel Aşama İlerlemesi (%)</t>
        </is>
      </c>
    </row>
    <row r="4">
      <c r="A4" t="inlineStr">
        <is>
          <t>Hazırlık &amp; Ölçü</t>
        </is>
      </c>
      <c r="B4" s="3" t="n">
        <v>0</v>
      </c>
    </row>
    <row r="5">
      <c r="A5" t="inlineStr">
        <is>
          <t>Kalıp Montaj</t>
        </is>
      </c>
      <c r="B5" s="3" t="n">
        <v>0</v>
      </c>
    </row>
    <row r="6">
      <c r="A6" t="inlineStr">
        <is>
          <t>Beton &amp; Kontrol</t>
        </is>
      </c>
      <c r="B6" s="3" t="n">
        <v>0</v>
      </c>
    </row>
    <row r="7">
      <c r="A7" t="inlineStr">
        <is>
          <t>Söküm &amp; Devretme</t>
        </is>
      </c>
      <c r="B7" s="3" t="n">
        <v>0</v>
      </c>
    </row>
    <row r="8">
      <c r="A8" t="inlineStr">
        <is>
          <t>Genel İlerleme</t>
        </is>
      </c>
      <c r="B8" s="4">
        <f>AVERAGE(B4:B7)</f>
        <v/>
      </c>
    </row>
    <row r="10">
      <c r="A10" s="1" t="inlineStr">
        <is>
          <t>Bodrum Bölümü İlerlemesi (%)</t>
        </is>
      </c>
      <c r="D10" s="1" t="inlineStr">
        <is>
          <t>Üst Kat Bölümü İlerlemesi (%)</t>
        </is>
      </c>
    </row>
    <row r="11">
      <c r="A11" t="inlineStr">
        <is>
          <t>Hazırlık &amp; Ölçü</t>
        </is>
      </c>
      <c r="B11" s="3" t="n">
        <v>0</v>
      </c>
      <c r="D11" t="inlineStr">
        <is>
          <t>Hazırlık &amp; Ölçü</t>
        </is>
      </c>
      <c r="E11" s="3" t="n">
        <v>0</v>
      </c>
    </row>
    <row r="12">
      <c r="A12" t="inlineStr">
        <is>
          <t>Kalıp Montaj</t>
        </is>
      </c>
      <c r="B12" s="3" t="n">
        <v>0</v>
      </c>
      <c r="D12" t="inlineStr">
        <is>
          <t>Kalıp Montaj</t>
        </is>
      </c>
      <c r="E12" s="3" t="n">
        <v>0</v>
      </c>
    </row>
    <row r="13">
      <c r="A13" t="inlineStr">
        <is>
          <t>Beton &amp; Kontrol</t>
        </is>
      </c>
      <c r="B13" s="3" t="n">
        <v>0</v>
      </c>
      <c r="D13" t="inlineStr">
        <is>
          <t>Beton &amp; Kontrol</t>
        </is>
      </c>
      <c r="E13" s="3" t="n">
        <v>0</v>
      </c>
    </row>
    <row r="14">
      <c r="A14" t="inlineStr">
        <is>
          <t>Söküm &amp; Devretme</t>
        </is>
      </c>
      <c r="B14" s="3" t="n">
        <v>0</v>
      </c>
      <c r="D14" t="inlineStr">
        <is>
          <t>Söküm &amp; Devretme</t>
        </is>
      </c>
      <c r="E14" s="3" t="n">
        <v>0</v>
      </c>
    </row>
    <row r="17">
      <c r="A17" t="inlineStr">
        <is>
          <t>Rapor Tarihi</t>
        </is>
      </c>
      <c r="B17" s="5">
        <f>TODAY()</f>
        <v/>
      </c>
    </row>
    <row r="18">
      <c r="A18" t="inlineStr">
        <is>
          <t>Kalan Gün</t>
        </is>
      </c>
      <c r="B18">
        <f>MAX(0,DATE(2027,4,15)-B17)</f>
        <v/>
      </c>
    </row>
    <row r="21">
      <c r="A21" s="1" t="inlineStr">
        <is>
          <t>Aylık Gerçekleşen Montaj (m²)</t>
        </is>
      </c>
    </row>
    <row r="22">
      <c r="A22" s="1" t="inlineStr">
        <is>
          <t>Ay</t>
        </is>
      </c>
      <c r="B22" s="1" t="inlineStr">
        <is>
          <t>Plan (m²)</t>
        </is>
      </c>
      <c r="C22" s="1" t="inlineStr">
        <is>
          <t>Gerçekleşen (m²)</t>
        </is>
      </c>
      <c r="D22" s="1" t="inlineStr">
        <is>
          <t>Sapma</t>
        </is>
      </c>
      <c r="E22" s="1" t="inlineStr">
        <is>
          <t>Kümülatif Gerçekleşen</t>
        </is>
      </c>
      <c r="F22" s="1" t="inlineStr">
        <is>
          <t>Kümülatif %</t>
        </is>
      </c>
    </row>
    <row r="23">
      <c r="A23" t="inlineStr">
        <is>
          <t>Eyl'26</t>
        </is>
      </c>
      <c r="B23" t="n">
        <v>800</v>
      </c>
      <c r="C23" t="n">
        <v>0</v>
      </c>
      <c r="D23">
        <f>C23-B23</f>
        <v/>
      </c>
      <c r="E23">
        <f>SUM($C$23:C23)</f>
        <v/>
      </c>
      <c r="F23" s="6">
        <f>E23/11773.4</f>
        <v/>
      </c>
    </row>
    <row r="24">
      <c r="A24" t="inlineStr">
        <is>
          <t>Eki'26</t>
        </is>
      </c>
      <c r="B24" t="n">
        <v>1100</v>
      </c>
      <c r="C24" t="n">
        <v>0</v>
      </c>
      <c r="D24">
        <f>C24-B24</f>
        <v/>
      </c>
      <c r="E24">
        <f>SUM($C$23:C24)</f>
        <v/>
      </c>
      <c r="F24" s="6">
        <f>E24/11773.4</f>
        <v/>
      </c>
    </row>
    <row r="25">
      <c r="A25" t="inlineStr">
        <is>
          <t>Kas'26</t>
        </is>
      </c>
      <c r="B25" t="n">
        <v>1400</v>
      </c>
      <c r="C25" t="n">
        <v>0</v>
      </c>
      <c r="D25">
        <f>C25-B25</f>
        <v/>
      </c>
      <c r="E25">
        <f>SUM($C$23:C25)</f>
        <v/>
      </c>
      <c r="F25" s="6">
        <f>E25/11773.4</f>
        <v/>
      </c>
    </row>
    <row r="26">
      <c r="A26" t="inlineStr">
        <is>
          <t>Ara'26</t>
        </is>
      </c>
      <c r="B26" t="n">
        <v>1700</v>
      </c>
      <c r="C26" t="n">
        <v>0</v>
      </c>
      <c r="D26">
        <f>C26-B26</f>
        <v/>
      </c>
      <c r="E26">
        <f>SUM($C$23:C26)</f>
        <v/>
      </c>
      <c r="F26" s="6">
        <f>E26/11773.4</f>
        <v/>
      </c>
    </row>
    <row r="27">
      <c r="A27" t="inlineStr">
        <is>
          <t>Oca'27</t>
        </is>
      </c>
      <c r="B27" t="n">
        <v>1900</v>
      </c>
      <c r="C27" t="n">
        <v>0</v>
      </c>
      <c r="D27">
        <f>C27-B27</f>
        <v/>
      </c>
      <c r="E27">
        <f>SUM($C$23:C27)</f>
        <v/>
      </c>
      <c r="F27" s="6">
        <f>E27/11773.4</f>
        <v/>
      </c>
    </row>
    <row r="28">
      <c r="A28" t="inlineStr">
        <is>
          <t>Şub'27</t>
        </is>
      </c>
      <c r="B28" t="n">
        <v>2000</v>
      </c>
      <c r="C28" t="n">
        <v>0</v>
      </c>
      <c r="D28">
        <f>C28-B28</f>
        <v/>
      </c>
      <c r="E28">
        <f>SUM($C$23:C28)</f>
        <v/>
      </c>
      <c r="F28" s="6">
        <f>E28/11773.4</f>
        <v/>
      </c>
    </row>
    <row r="29">
      <c r="A29" t="inlineStr">
        <is>
          <t>Mar'27</t>
        </is>
      </c>
      <c r="B29" t="n">
        <v>1873</v>
      </c>
      <c r="C29" t="n">
        <v>0</v>
      </c>
      <c r="D29">
        <f>C29-B29</f>
        <v/>
      </c>
      <c r="E29">
        <f>SUM($C$23:C29)</f>
        <v/>
      </c>
      <c r="F29" s="6">
        <f>E29/11773.4</f>
        <v/>
      </c>
    </row>
    <row r="30">
      <c r="A30" t="inlineStr">
        <is>
          <t>Nis'27</t>
        </is>
      </c>
      <c r="B30" t="n">
        <v>1000</v>
      </c>
      <c r="C30" t="n">
        <v>0</v>
      </c>
      <c r="D30">
        <f>C30-B30</f>
        <v/>
      </c>
      <c r="E30">
        <f>SUM($C$23:C30)</f>
        <v/>
      </c>
      <c r="F30" s="6">
        <f>E30/11773.4</f>
        <v/>
      </c>
    </row>
  </sheetData>
  <mergeCells count="1">
    <mergeCell ref="A1:H1"/>
  </mergeCells>
  <dataValidations count="1">
    <dataValidation sqref="B4 B5 B6 B7 B11 B12 B13 B14 E11 E12 E13 E14" showDropDown="0" showInputMessage="0" showErrorMessage="0" allowBlank="1" error="0 ile 1 arasında girin (örn. 0.25 = %25)" type="decimal" operator="between">
      <formula1>0</formula1>
      <formula2>1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6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7" t="inlineStr">
        <is>
          <t>11.773 m² KALIP İŞİ</t>
        </is>
      </c>
      <c r="M1" s="8" t="n"/>
      <c r="N1" s="8" t="n"/>
      <c r="O1" s="8" t="n"/>
      <c r="P1" s="8" t="n"/>
    </row>
    <row r="2">
      <c r="A2" s="9" t="inlineStr">
        <is>
          <t>PROJE DASHBOARD — Karşıyaka Ortaokulu (24 derslik)</t>
        </is>
      </c>
      <c r="M2" s="8" t="n"/>
      <c r="N2" s="8" t="n"/>
      <c r="O2" s="8" t="n"/>
      <c r="P2" s="8" t="n"/>
    </row>
    <row r="3">
      <c r="A3" s="8" t="n"/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</row>
    <row r="4">
      <c r="A4" s="10" t="inlineStr">
        <is>
          <t>TOPLAM İLERLEME</t>
        </is>
      </c>
      <c r="C4" s="10" t="inlineStr">
        <is>
          <t>PERDE KALIBI</t>
        </is>
      </c>
      <c r="E4" s="10" t="inlineStr">
        <is>
          <t>DÖŞEME KALIBI</t>
        </is>
      </c>
      <c r="G4" s="10" t="inlineStr">
        <is>
          <t>KOLON + KİRİŞ</t>
        </is>
      </c>
      <c r="I4" s="10" t="inlineStr">
        <is>
          <t>PERSONEL (PİK)</t>
        </is>
      </c>
      <c r="K4" s="10" t="inlineStr">
        <is>
          <t>KALAN GÜN</t>
        </is>
      </c>
      <c r="M4" s="8" t="n"/>
      <c r="N4" s="8" t="n"/>
      <c r="O4" s="8" t="n"/>
      <c r="P4" s="8" t="n"/>
    </row>
    <row r="5">
      <c r="A5" s="11">
        <f>'Veri Girişi'!B8</f>
        <v/>
      </c>
      <c r="C5" s="12" t="n">
        <v>4621</v>
      </c>
      <c r="E5" s="12" t="n">
        <v>4707</v>
      </c>
      <c r="G5" s="12" t="n">
        <v>2325</v>
      </c>
      <c r="I5" s="12" t="n">
        <v>6</v>
      </c>
      <c r="K5" s="12">
        <f>'Veri Girişi'!B18</f>
        <v/>
      </c>
      <c r="M5" s="8" t="n"/>
      <c r="N5" s="8" t="n"/>
      <c r="O5" s="8" t="n"/>
      <c r="P5" s="8" t="n"/>
    </row>
    <row r="6">
      <c r="M6" s="8" t="n"/>
      <c r="N6" s="8" t="n"/>
      <c r="O6" s="8" t="n"/>
      <c r="P6" s="8" t="n"/>
    </row>
    <row r="7">
      <c r="A7" s="13" t="inlineStr">
        <is>
          <t>genel</t>
        </is>
      </c>
      <c r="B7" s="8" t="n"/>
      <c r="C7" s="13" t="inlineStr">
        <is>
          <t>m²</t>
        </is>
      </c>
      <c r="D7" s="8" t="n"/>
      <c r="E7" s="13" t="inlineStr">
        <is>
          <t>m²</t>
        </is>
      </c>
      <c r="F7" s="8" t="n"/>
      <c r="G7" s="13" t="inlineStr">
        <is>
          <t>m²</t>
        </is>
      </c>
      <c r="H7" s="8" t="n"/>
      <c r="I7" s="13" t="inlineStr">
        <is>
          <t>kişi</t>
        </is>
      </c>
      <c r="J7" s="8" t="n"/>
      <c r="K7" s="13" t="inlineStr">
        <is>
          <t>gün</t>
        </is>
      </c>
      <c r="L7" s="8" t="n"/>
      <c r="M7" s="8" t="n"/>
      <c r="N7" s="8" t="n"/>
      <c r="O7" s="8" t="n"/>
      <c r="P7" s="8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</row>
    <row r="9">
      <c r="A9" s="14" t="inlineStr">
        <is>
          <t>PROJE ÖZETİ</t>
        </is>
      </c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14" t="inlineStr">
        <is>
          <t>PROJE KPI</t>
        </is>
      </c>
      <c r="M9" s="8" t="n"/>
      <c r="N9" s="8" t="n"/>
      <c r="O9" s="8" t="n"/>
      <c r="P9" s="8" t="n"/>
    </row>
    <row r="10">
      <c r="A10" s="15" t="inlineStr">
        <is>
          <t>Başlangıç</t>
        </is>
      </c>
      <c r="B10" s="16" t="inlineStr">
        <is>
          <t>01.09.2026</t>
        </is>
      </c>
      <c r="C10" s="8" t="n"/>
      <c r="D10" s="8" t="n"/>
      <c r="E10" s="8" t="n"/>
      <c r="F10" s="8" t="n"/>
      <c r="G10" s="8" t="n"/>
      <c r="H10" s="8" t="n"/>
      <c r="I10" s="8" t="n"/>
      <c r="J10" s="8" t="n"/>
      <c r="K10" s="15" t="inlineStr">
        <is>
          <t>Hazırlık &amp; Ölçü</t>
        </is>
      </c>
      <c r="L10" s="17">
        <f>'Veri Girişi'!C4</f>
        <v/>
      </c>
      <c r="M10" s="8" t="n"/>
      <c r="N10" s="8" t="n"/>
      <c r="O10" s="8" t="n"/>
      <c r="P10" s="8" t="n"/>
    </row>
    <row r="11">
      <c r="A11" s="15" t="inlineStr">
        <is>
          <t>Bitiş</t>
        </is>
      </c>
      <c r="B11" s="16" t="inlineStr">
        <is>
          <t>15.04.2027</t>
        </is>
      </c>
      <c r="C11" s="8" t="n"/>
      <c r="D11" s="8" t="n"/>
      <c r="E11" s="8" t="n"/>
      <c r="F11" s="8" t="n"/>
      <c r="G11" s="8" t="n"/>
      <c r="H11" s="8" t="n"/>
      <c r="I11" s="8" t="n"/>
      <c r="J11" s="8" t="n"/>
      <c r="K11" s="15" t="inlineStr">
        <is>
          <t>Kalıp Montaj</t>
        </is>
      </c>
      <c r="L11" s="17">
        <f>'Veri Girişi'!C5</f>
        <v/>
      </c>
      <c r="M11" s="8" t="n"/>
      <c r="N11" s="8" t="n"/>
      <c r="O11" s="8" t="n"/>
      <c r="P11" s="8" t="n"/>
    </row>
    <row r="12">
      <c r="A12" s="15" t="inlineStr">
        <is>
          <t>Fiziki Bitiş</t>
        </is>
      </c>
      <c r="B12" s="16" t="inlineStr">
        <is>
          <t>31.03.2027</t>
        </is>
      </c>
      <c r="C12" s="8" t="n"/>
      <c r="D12" s="8" t="n"/>
      <c r="E12" s="8" t="n"/>
      <c r="F12" s="8" t="n"/>
      <c r="G12" s="8" t="n"/>
      <c r="H12" s="8" t="n"/>
      <c r="I12" s="8" t="n"/>
      <c r="J12" s="8" t="n"/>
      <c r="K12" s="15" t="inlineStr">
        <is>
          <t>Beton &amp; Kontrol</t>
        </is>
      </c>
      <c r="L12" s="17">
        <f>'Veri Girişi'!C6</f>
        <v/>
      </c>
      <c r="M12" s="8" t="n"/>
      <c r="N12" s="8" t="n"/>
      <c r="O12" s="8" t="n"/>
      <c r="P12" s="8" t="n"/>
    </row>
    <row r="13">
      <c r="A13" s="15" t="inlineStr">
        <is>
          <t>Toplam Metraj</t>
        </is>
      </c>
      <c r="B13" s="16" t="inlineStr">
        <is>
          <t>11.773.4 m²</t>
        </is>
      </c>
      <c r="C13" s="8" t="n"/>
      <c r="D13" s="8" t="n"/>
      <c r="E13" s="8" t="n"/>
      <c r="F13" s="8" t="n"/>
      <c r="G13" s="8" t="n"/>
      <c r="H13" s="8" t="n"/>
      <c r="I13" s="8" t="n"/>
      <c r="J13" s="8" t="n"/>
      <c r="K13" s="15" t="inlineStr">
        <is>
          <t>Söküm &amp; Devretme</t>
        </is>
      </c>
      <c r="L13" s="17">
        <f>'Veri Girişi'!C7</f>
        <v/>
      </c>
      <c r="M13" s="8" t="n"/>
      <c r="N13" s="8" t="n"/>
      <c r="O13" s="8" t="n"/>
      <c r="P13" s="8" t="n"/>
    </row>
    <row r="14">
      <c r="A14" s="15" t="inlineStr">
        <is>
          <t>Bölüm Sayısı</t>
        </is>
      </c>
      <c r="B14" s="16" t="inlineStr">
        <is>
          <t>2 (Bodrum / Üst Kat)</t>
        </is>
      </c>
      <c r="C14" s="8" t="n"/>
      <c r="D14" s="8" t="n"/>
      <c r="E14" s="8" t="n"/>
      <c r="F14" s="8" t="n"/>
      <c r="G14" s="8" t="n"/>
      <c r="H14" s="8" t="n"/>
      <c r="I14" s="8" t="n"/>
      <c r="J14" s="8" t="n"/>
      <c r="K14" s="15" t="inlineStr">
        <is>
          <t>Genel İlerleme</t>
        </is>
      </c>
      <c r="L14" s="17">
        <f>'Veri Girişi'!C8</f>
        <v/>
      </c>
      <c r="M14" s="8" t="n"/>
      <c r="N14" s="8" t="n"/>
      <c r="O14" s="8" t="n"/>
      <c r="P14" s="8" t="n"/>
    </row>
    <row r="15">
      <c r="A15" s="15" t="inlineStr">
        <is>
          <t>Proje Süresi</t>
        </is>
      </c>
      <c r="B15" s="16" t="inlineStr">
        <is>
          <t>7.5 ay</t>
        </is>
      </c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</row>
    <row r="16">
      <c r="A16" s="15" t="inlineStr">
        <is>
          <t>Ekip</t>
        </is>
      </c>
      <c r="B16" s="16" t="inlineStr">
        <is>
          <t>2 usta + 3 çırak + 1 mühendis</t>
        </is>
      </c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</row>
    <row r="17">
      <c r="A17" s="15" t="inlineStr">
        <is>
          <t>Birim Fiyat (teklif)</t>
        </is>
      </c>
      <c r="B17" s="16" t="inlineStr">
        <is>
          <t>500 TL/m²</t>
        </is>
      </c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</row>
    <row r="19">
      <c r="A19" s="14" t="inlineStr">
        <is>
          <t>Kalem</t>
        </is>
      </c>
      <c r="B19" s="14" t="inlineStr">
        <is>
          <t>m²</t>
        </is>
      </c>
      <c r="C19" s="14" t="inlineStr">
        <is>
          <t>Pay %</t>
        </is>
      </c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</row>
    <row r="20">
      <c r="A20" s="14" t="inlineStr">
        <is>
          <t>Ay</t>
        </is>
      </c>
      <c r="B20" s="14" t="inlineStr">
        <is>
          <t>Perde</t>
        </is>
      </c>
      <c r="C20" s="18" t="inlineStr">
        <is>
          <t>Döşeme</t>
        </is>
      </c>
      <c r="D20" s="14" t="inlineStr">
        <is>
          <t>Kolon+Kiriş</t>
        </is>
      </c>
      <c r="E20" s="14" t="inlineStr">
        <is>
          <t>Toplam</t>
        </is>
      </c>
      <c r="F20" s="14" t="inlineStr">
        <is>
          <t>Kümülatif %</t>
        </is>
      </c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</row>
    <row r="21">
      <c r="A21" s="16" t="inlineStr">
        <is>
          <t>Eyl'26</t>
        </is>
      </c>
      <c r="B21" s="16" t="n">
        <v>420</v>
      </c>
      <c r="C21" s="19" t="n">
        <v>0</v>
      </c>
      <c r="D21" s="8" t="n">
        <v>380</v>
      </c>
      <c r="E21" s="8" t="n">
        <v>800</v>
      </c>
      <c r="F21" s="20" t="n">
        <v>0.06794978510880459</v>
      </c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</row>
    <row r="22">
      <c r="A22" s="16" t="inlineStr">
        <is>
          <t>Eki'26</t>
        </is>
      </c>
      <c r="B22" s="16" t="n">
        <v>580</v>
      </c>
      <c r="C22" s="19" t="n">
        <v>80</v>
      </c>
      <c r="D22" s="8" t="n">
        <v>440</v>
      </c>
      <c r="E22" s="8" t="n">
        <v>1100</v>
      </c>
      <c r="F22" s="20" t="n">
        <v>0.1613807396334109</v>
      </c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</row>
    <row r="23">
      <c r="A23" s="16" t="inlineStr">
        <is>
          <t>Kas'26</t>
        </is>
      </c>
      <c r="B23" s="16" t="n">
        <v>720</v>
      </c>
      <c r="C23" s="19" t="n">
        <v>180</v>
      </c>
      <c r="D23" s="8" t="n">
        <v>500</v>
      </c>
      <c r="E23" s="8" t="n">
        <v>1400</v>
      </c>
      <c r="F23" s="20" t="n">
        <v>0.2802928635738189</v>
      </c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</row>
    <row r="24">
      <c r="A24" s="16" t="inlineStr">
        <is>
          <t>Ara'26</t>
        </is>
      </c>
      <c r="B24" s="16" t="n">
        <v>880</v>
      </c>
      <c r="C24" s="19" t="n">
        <v>420</v>
      </c>
      <c r="D24" s="8" t="n">
        <v>400</v>
      </c>
      <c r="E24" s="8" t="n">
        <v>1700</v>
      </c>
      <c r="F24" s="20" t="n">
        <v>0.4246861569300287</v>
      </c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</row>
    <row r="25">
      <c r="A25" s="16" t="inlineStr">
        <is>
          <t>Oca'27</t>
        </is>
      </c>
      <c r="B25" s="8" t="n">
        <v>980</v>
      </c>
      <c r="C25" s="8" t="n">
        <v>620</v>
      </c>
      <c r="D25" s="8" t="n">
        <v>300</v>
      </c>
      <c r="E25" s="8" t="n">
        <v>1900</v>
      </c>
      <c r="F25" s="20" t="n">
        <v>0.5860668965634397</v>
      </c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</row>
    <row r="26">
      <c r="A26" s="16" t="inlineStr">
        <is>
          <t>Şub'27</t>
        </is>
      </c>
      <c r="B26" s="8" t="n">
        <v>720</v>
      </c>
      <c r="C26" s="8" t="n">
        <v>880</v>
      </c>
      <c r="D26" s="8" t="n">
        <v>400</v>
      </c>
      <c r="E26" s="8" t="n">
        <v>2000</v>
      </c>
      <c r="F26" s="20" t="n">
        <v>0.7559413593354511</v>
      </c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</row>
    <row r="27">
      <c r="A27" s="16" t="inlineStr">
        <is>
          <t>Mar'27</t>
        </is>
      </c>
      <c r="B27" s="8" t="n">
        <v>650</v>
      </c>
      <c r="C27" s="8" t="n">
        <v>920</v>
      </c>
      <c r="D27" s="8" t="n">
        <v>303</v>
      </c>
      <c r="E27" s="8" t="n">
        <v>1873</v>
      </c>
      <c r="F27" s="20" t="n">
        <v>0.9150287937214399</v>
      </c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</row>
    <row r="28">
      <c r="A28" s="16" t="inlineStr">
        <is>
          <t>Nis'27</t>
        </is>
      </c>
      <c r="B28" s="8" t="n">
        <v>171</v>
      </c>
      <c r="C28" s="8" t="n">
        <v>586</v>
      </c>
      <c r="D28" s="8" t="n">
        <v>243</v>
      </c>
      <c r="E28" s="8" t="n">
        <v>1000</v>
      </c>
      <c r="F28" s="20" t="n">
        <v>0.9999660251074456</v>
      </c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</row>
    <row r="43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</row>
    <row r="45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</row>
    <row r="47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</row>
    <row r="49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</row>
    <row r="50">
      <c r="A50" s="21" t="inlineStr">
        <is>
          <t>Bodrum Bölümü — 1.457 m²</t>
        </is>
      </c>
      <c r="F50" s="8" t="n"/>
      <c r="G50" s="21" t="inlineStr">
        <is>
          <t>Üst Kat Bölümü — 10.316 m²</t>
        </is>
      </c>
      <c r="L50" s="8" t="n"/>
      <c r="M50" s="8" t="n"/>
      <c r="N50" s="8" t="n"/>
      <c r="O50" s="8" t="n"/>
      <c r="P50" s="8" t="n"/>
    </row>
    <row r="51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</row>
    <row r="52">
      <c r="A52" s="15" t="inlineStr">
        <is>
          <t>Hazırlık &amp; Ölçü</t>
        </is>
      </c>
      <c r="B52" s="22">
        <f>'Veri Girişi'!B11</f>
        <v/>
      </c>
      <c r="C52" s="23" t="inlineStr">
        <is>
          <t>DEVAM EDİYOR</t>
        </is>
      </c>
      <c r="D52" s="8" t="n"/>
      <c r="E52" s="8" t="n"/>
      <c r="F52" s="8" t="n"/>
      <c r="G52" s="15" t="inlineStr">
        <is>
          <t>Hazırlık &amp; Ölçü</t>
        </is>
      </c>
      <c r="H52" s="22">
        <f>'Veri Girişi'!E11</f>
        <v/>
      </c>
      <c r="I52" s="23" t="inlineStr">
        <is>
          <t>DEVAM EDİYOR</t>
        </is>
      </c>
      <c r="J52" s="8" t="n"/>
      <c r="K52" s="8" t="n"/>
      <c r="L52" s="8" t="n"/>
      <c r="M52" s="8" t="n"/>
      <c r="N52" s="8" t="n"/>
      <c r="O52" s="8" t="n"/>
      <c r="P52" s="8" t="n"/>
    </row>
    <row r="53">
      <c r="A53" s="15" t="inlineStr">
        <is>
          <t>Kalıp Montaj</t>
        </is>
      </c>
      <c r="B53" s="22">
        <f>'Veri Girişi'!B12</f>
        <v/>
      </c>
      <c r="C53" s="23" t="inlineStr">
        <is>
          <t>DEVAM EDİYOR</t>
        </is>
      </c>
      <c r="D53" s="8" t="n"/>
      <c r="E53" s="8" t="n"/>
      <c r="F53" s="8" t="n"/>
      <c r="G53" s="15" t="inlineStr">
        <is>
          <t>Kalıp Montaj</t>
        </is>
      </c>
      <c r="H53" s="22">
        <f>'Veri Girişi'!E12</f>
        <v/>
      </c>
      <c r="I53" s="23" t="inlineStr">
        <is>
          <t>DEVAM EDİYOR</t>
        </is>
      </c>
      <c r="J53" s="8" t="n"/>
      <c r="K53" s="8" t="n"/>
      <c r="L53" s="8" t="n"/>
      <c r="M53" s="8" t="n"/>
      <c r="N53" s="8" t="n"/>
      <c r="O53" s="8" t="n"/>
      <c r="P53" s="8" t="n"/>
    </row>
    <row r="54">
      <c r="A54" s="15" t="inlineStr">
        <is>
          <t>Beton &amp; Kontrol</t>
        </is>
      </c>
      <c r="B54" s="22">
        <f>'Veri Girişi'!B13</f>
        <v/>
      </c>
      <c r="C54" s="23" t="inlineStr">
        <is>
          <t>BEKLEMEDE</t>
        </is>
      </c>
      <c r="D54" s="8" t="n"/>
      <c r="E54" s="8" t="n"/>
      <c r="F54" s="8" t="n"/>
      <c r="G54" s="15" t="inlineStr">
        <is>
          <t>Beton &amp; Kontrol</t>
        </is>
      </c>
      <c r="H54" s="22">
        <f>'Veri Girişi'!E13</f>
        <v/>
      </c>
      <c r="I54" s="23" t="inlineStr">
        <is>
          <t>BEKLEMEDE</t>
        </is>
      </c>
      <c r="J54" s="8" t="n"/>
      <c r="K54" s="8" t="n"/>
      <c r="L54" s="8" t="n"/>
      <c r="M54" s="8" t="n"/>
      <c r="N54" s="8" t="n"/>
      <c r="O54" s="8" t="n"/>
      <c r="P54" s="8" t="n"/>
    </row>
    <row r="55">
      <c r="A55" s="15" t="inlineStr">
        <is>
          <t>Söküm &amp; Devretme</t>
        </is>
      </c>
      <c r="B55" s="22">
        <f>'Veri Girişi'!B14</f>
        <v/>
      </c>
      <c r="C55" s="23" t="inlineStr">
        <is>
          <t>BEKLEMEDE</t>
        </is>
      </c>
      <c r="D55" s="8" t="n"/>
      <c r="E55" s="8" t="n"/>
      <c r="F55" s="8" t="n"/>
      <c r="G55" s="15" t="inlineStr">
        <is>
          <t>Söküm &amp; Devretme</t>
        </is>
      </c>
      <c r="H55" s="22">
        <f>'Veri Girişi'!E14</f>
        <v/>
      </c>
      <c r="I55" s="23" t="inlineStr">
        <is>
          <t>BEKLEMEDE</t>
        </is>
      </c>
      <c r="J55" s="8" t="n"/>
      <c r="K55" s="8" t="n"/>
      <c r="L55" s="8" t="n"/>
      <c r="M55" s="8" t="n"/>
      <c r="N55" s="8" t="n"/>
      <c r="O55" s="8" t="n"/>
      <c r="P55" s="8" t="n"/>
    </row>
    <row r="58">
      <c r="A58" s="24" t="inlineStr">
        <is>
          <t>Yönetici Notu: Karşıyaka Ortaokulu (24 derslik) kalıp taşeronluğu 01.09.2026 — 15.04.2027 arasında planlanmıştır. Toplam 11.773 m² kırık ölçü metraj; bodrum ve üst kat olmak üzere 2 bölümde ilerlenecektir. Ekip kapasitesi 6 kişi; gerçekçi tamamlanma 31.03.2027 hedeflenmektedir. Güncel ilerleme 'Veri Girişi' sayfasından güncellenir.</t>
        </is>
      </c>
    </row>
    <row r="59"/>
    <row r="60"/>
    <row r="61"/>
    <row r="62"/>
    <row r="63"/>
  </sheetData>
  <mergeCells count="18">
    <mergeCell ref="A4:B4"/>
    <mergeCell ref="G4:H4"/>
    <mergeCell ref="A2:L2"/>
    <mergeCell ref="E4:F4"/>
    <mergeCell ref="I4:J4"/>
    <mergeCell ref="A50:E50"/>
    <mergeCell ref="A9:B9"/>
    <mergeCell ref="A1:L1"/>
    <mergeCell ref="G50:K50"/>
    <mergeCell ref="C5:D6"/>
    <mergeCell ref="A5:B6"/>
    <mergeCell ref="G5:H6"/>
    <mergeCell ref="E5:F6"/>
    <mergeCell ref="K5:L6"/>
    <mergeCell ref="I5:J6"/>
    <mergeCell ref="A58:L63"/>
    <mergeCell ref="K4:L4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2" t="inlineStr">
        <is>
          <t>BODRUM BÖLÜMÜ — KALIP TAKİP</t>
        </is>
      </c>
    </row>
    <row r="3">
      <c r="A3" s="1" t="inlineStr">
        <is>
          <t>Kalem</t>
        </is>
      </c>
      <c r="B3" s="1" t="inlineStr">
        <is>
          <t>Metraj (m²)</t>
        </is>
      </c>
      <c r="C3" s="1" t="inlineStr">
        <is>
          <t>Montaj %</t>
        </is>
      </c>
      <c r="D3" s="1" t="inlineStr">
        <is>
          <t>Beton %</t>
        </is>
      </c>
      <c r="E3" s="1" t="inlineStr">
        <is>
          <t>Söküm %</t>
        </is>
      </c>
      <c r="F3" s="1" t="inlineStr">
        <is>
          <t>Tamamlanan (m²)</t>
        </is>
      </c>
      <c r="G3" s="1" t="inlineStr">
        <is>
          <t>Kalan (m²)</t>
        </is>
      </c>
    </row>
    <row r="4">
      <c r="A4" t="inlineStr">
        <is>
          <t>Radye yan kalıp</t>
        </is>
      </c>
      <c r="B4" t="n">
        <v>120.4</v>
      </c>
      <c r="C4" s="3" t="n">
        <v>0</v>
      </c>
      <c r="D4" s="3" t="n">
        <v>0</v>
      </c>
      <c r="E4" s="3" t="n">
        <v>0</v>
      </c>
      <c r="F4">
        <f>B4*AVERAGE(C4:E4)</f>
        <v/>
      </c>
      <c r="G4">
        <f>B4-F4</f>
        <v/>
      </c>
    </row>
    <row r="5">
      <c r="A5" t="inlineStr">
        <is>
          <t>Bodrum perde kalıbı</t>
        </is>
      </c>
      <c r="B5" t="n">
        <v>1152.7</v>
      </c>
      <c r="C5" s="3" t="n">
        <v>0</v>
      </c>
      <c r="D5" s="3" t="n">
        <v>0</v>
      </c>
      <c r="E5" s="3" t="n">
        <v>0</v>
      </c>
      <c r="F5">
        <f>B5*AVERAGE(C5:E5)</f>
        <v/>
      </c>
      <c r="G5">
        <f>B5-F5</f>
        <v/>
      </c>
    </row>
    <row r="6">
      <c r="A6" t="inlineStr">
        <is>
          <t>Bodrum kolon kalıbı</t>
        </is>
      </c>
      <c r="B6" t="n">
        <v>184</v>
      </c>
      <c r="C6" s="3" t="n">
        <v>0</v>
      </c>
      <c r="D6" s="3" t="n">
        <v>0</v>
      </c>
      <c r="E6" s="3" t="n">
        <v>0</v>
      </c>
      <c r="F6">
        <f>B6*AVERAGE(C6:E6)</f>
        <v/>
      </c>
      <c r="G6">
        <f>B6-F6</f>
        <v/>
      </c>
    </row>
    <row r="7">
      <c r="A7" s="1" t="inlineStr">
        <is>
          <t>TOPLAM</t>
        </is>
      </c>
      <c r="B7" s="1">
        <f>SUM(B4:B6)</f>
        <v/>
      </c>
      <c r="F7" s="1">
        <f>SUM(F4:F6)</f>
        <v/>
      </c>
      <c r="G7" s="1">
        <f>SUM(G4:G6)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2" t="inlineStr">
        <is>
          <t>ÜST KAT BÖLÜMÜ — KALIP TAKİP</t>
        </is>
      </c>
    </row>
    <row r="3">
      <c r="A3" s="1" t="inlineStr">
        <is>
          <t>Kalem</t>
        </is>
      </c>
      <c r="B3" s="1" t="inlineStr">
        <is>
          <t>Metraj (m²)</t>
        </is>
      </c>
      <c r="C3" s="1" t="inlineStr">
        <is>
          <t>Montaj %</t>
        </is>
      </c>
      <c r="D3" s="1" t="inlineStr">
        <is>
          <t>Beton %</t>
        </is>
      </c>
      <c r="E3" s="1" t="inlineStr">
        <is>
          <t>Söküm %</t>
        </is>
      </c>
      <c r="F3" s="1" t="inlineStr">
        <is>
          <t>Tamamlanan (m²)</t>
        </is>
      </c>
      <c r="G3" s="1" t="inlineStr">
        <is>
          <t>Kalan (m²)</t>
        </is>
      </c>
    </row>
    <row r="4">
      <c r="A4" t="inlineStr">
        <is>
          <t>Üst kat perde kalıbı</t>
        </is>
      </c>
      <c r="B4" t="n">
        <v>3468.8</v>
      </c>
      <c r="C4" s="3" t="n">
        <v>0</v>
      </c>
      <c r="D4" s="3" t="n">
        <v>0</v>
      </c>
      <c r="E4" s="3" t="n">
        <v>0</v>
      </c>
      <c r="F4">
        <f>B4*AVERAGE(C4:E4)</f>
        <v/>
      </c>
      <c r="G4">
        <f>B4-F4</f>
        <v/>
      </c>
    </row>
    <row r="5">
      <c r="A5" t="inlineStr">
        <is>
          <t>Üst kat kolon kalıbı</t>
        </is>
      </c>
      <c r="B5" t="n">
        <v>699.2</v>
      </c>
      <c r="C5" s="3" t="n">
        <v>0</v>
      </c>
      <c r="D5" s="3" t="n">
        <v>0</v>
      </c>
      <c r="E5" s="3" t="n">
        <v>0</v>
      </c>
      <c r="F5">
        <f>B5*AVERAGE(C5:E5)</f>
        <v/>
      </c>
      <c r="G5">
        <f>B5-F5</f>
        <v/>
      </c>
    </row>
    <row r="6">
      <c r="A6" t="inlineStr">
        <is>
          <t>Döşeme alt kalıbı</t>
        </is>
      </c>
      <c r="B6" t="n">
        <v>4706.5</v>
      </c>
      <c r="C6" s="3" t="n">
        <v>0</v>
      </c>
      <c r="D6" s="3" t="n">
        <v>0</v>
      </c>
      <c r="E6" s="3" t="n">
        <v>0</v>
      </c>
      <c r="F6">
        <f>B6*AVERAGE(C6:E6)</f>
        <v/>
      </c>
      <c r="G6">
        <f>B6-F6</f>
        <v/>
      </c>
    </row>
    <row r="7">
      <c r="A7" t="inlineStr">
        <is>
          <t>Kiriş kalıbı</t>
        </is>
      </c>
      <c r="B7" t="n">
        <v>1441.8</v>
      </c>
      <c r="C7" s="3" t="n">
        <v>0</v>
      </c>
      <c r="D7" s="3" t="n">
        <v>0</v>
      </c>
      <c r="E7" s="3" t="n">
        <v>0</v>
      </c>
      <c r="F7">
        <f>B7*AVERAGE(C7:E7)</f>
        <v/>
      </c>
      <c r="G7">
        <f>B7-F7</f>
        <v/>
      </c>
    </row>
    <row r="8">
      <c r="A8" s="1" t="inlineStr">
        <is>
          <t>TOPLAM</t>
        </is>
      </c>
      <c r="B8" s="1">
        <f>SUM(B4:B7)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2" t="inlineStr">
        <is>
          <t>HAKEDİŞ &amp; FİNANS TAKİBİ</t>
        </is>
      </c>
    </row>
    <row r="2">
      <c r="A2" t="inlineStr">
        <is>
          <t>Birim fiyat: 500 TL/m² (KDV hariç) · Tevkifat 4/10</t>
        </is>
      </c>
    </row>
    <row r="4">
      <c r="A4" s="1" t="inlineStr">
        <is>
          <t>Dönem</t>
        </is>
      </c>
      <c r="B4" s="1" t="inlineStr">
        <is>
          <t>Tamamlanan (m²)</t>
        </is>
      </c>
      <c r="C4" s="1" t="inlineStr">
        <is>
          <t>Matrah (TL)</t>
        </is>
      </c>
      <c r="D4" s="1" t="inlineStr">
        <is>
          <t>KDV %20</t>
        </is>
      </c>
      <c r="E4" s="1" t="inlineStr">
        <is>
          <t>Tevkifat</t>
        </is>
      </c>
      <c r="F4" s="1" t="inlineStr">
        <is>
          <t>Tahsil KDV</t>
        </is>
      </c>
      <c r="G4" s="1" t="inlineStr">
        <is>
          <t>Fatura Tutarı</t>
        </is>
      </c>
      <c r="H4" s="1" t="inlineStr">
        <is>
          <t>Tahsil Edildi</t>
        </is>
      </c>
    </row>
    <row r="5">
      <c r="A5" t="inlineStr">
        <is>
          <t>Hakediş 1</t>
        </is>
      </c>
      <c r="B5" t="n">
        <v>0</v>
      </c>
      <c r="C5" s="25">
        <f>B5*500</f>
        <v/>
      </c>
      <c r="D5" s="25">
        <f>C5*0.2</f>
        <v/>
      </c>
      <c r="E5" s="25">
        <f>D5*0.4</f>
        <v/>
      </c>
      <c r="F5" s="25">
        <f>D5-E5</f>
        <v/>
      </c>
      <c r="G5" s="25">
        <f>C5+F5</f>
        <v/>
      </c>
      <c r="H5" t="inlineStr">
        <is>
          <t>Hayır</t>
        </is>
      </c>
    </row>
    <row r="6">
      <c r="A6" t="inlineStr">
        <is>
          <t>Hakediş 2</t>
        </is>
      </c>
      <c r="B6" t="n">
        <v>0</v>
      </c>
      <c r="C6" s="25">
        <f>B6*500</f>
        <v/>
      </c>
      <c r="D6" s="25">
        <f>C6*0.2</f>
        <v/>
      </c>
      <c r="E6" s="25">
        <f>D6*0.4</f>
        <v/>
      </c>
      <c r="F6" s="25">
        <f>D6-E6</f>
        <v/>
      </c>
      <c r="G6" s="25">
        <f>C6+F6</f>
        <v/>
      </c>
      <c r="H6" t="inlineStr">
        <is>
          <t>Hayır</t>
        </is>
      </c>
    </row>
    <row r="7">
      <c r="A7" t="inlineStr">
        <is>
          <t>Hakediş 3</t>
        </is>
      </c>
      <c r="B7" t="n">
        <v>0</v>
      </c>
      <c r="C7" s="25">
        <f>B7*500</f>
        <v/>
      </c>
      <c r="D7" s="25">
        <f>C7*0.2</f>
        <v/>
      </c>
      <c r="E7" s="25">
        <f>D7*0.4</f>
        <v/>
      </c>
      <c r="F7" s="25">
        <f>D7-E7</f>
        <v/>
      </c>
      <c r="G7" s="25">
        <f>C7+F7</f>
        <v/>
      </c>
      <c r="H7" t="inlineStr">
        <is>
          <t>Hayır</t>
        </is>
      </c>
    </row>
    <row r="8">
      <c r="A8" t="inlineStr">
        <is>
          <t>Hakediş 4</t>
        </is>
      </c>
      <c r="B8" t="n">
        <v>0</v>
      </c>
      <c r="C8" s="25">
        <f>B8*500</f>
        <v/>
      </c>
      <c r="D8" s="25">
        <f>C8*0.2</f>
        <v/>
      </c>
      <c r="E8" s="25">
        <f>D8*0.4</f>
        <v/>
      </c>
      <c r="F8" s="25">
        <f>D8-E8</f>
        <v/>
      </c>
      <c r="G8" s="25">
        <f>C8+F8</f>
        <v/>
      </c>
      <c r="H8" t="inlineStr">
        <is>
          <t>Hayır</t>
        </is>
      </c>
    </row>
    <row r="9">
      <c r="A9" t="inlineStr">
        <is>
          <t>Hakediş 5</t>
        </is>
      </c>
      <c r="B9" t="n">
        <v>0</v>
      </c>
      <c r="C9" s="25">
        <f>B9*500</f>
        <v/>
      </c>
      <c r="D9" s="25">
        <f>C9*0.2</f>
        <v/>
      </c>
      <c r="E9" s="25">
        <f>D9*0.4</f>
        <v/>
      </c>
      <c r="F9" s="25">
        <f>D9-E9</f>
        <v/>
      </c>
      <c r="G9" s="25">
        <f>C9+F9</f>
        <v/>
      </c>
      <c r="H9" t="inlineStr">
        <is>
          <t>Hayır</t>
        </is>
      </c>
    </row>
    <row r="10">
      <c r="A10" t="inlineStr">
        <is>
          <t>Hakediş 6</t>
        </is>
      </c>
      <c r="B10" t="n">
        <v>0</v>
      </c>
      <c r="C10" s="25">
        <f>B10*500</f>
        <v/>
      </c>
      <c r="D10" s="25">
        <f>C10*0.2</f>
        <v/>
      </c>
      <c r="E10" s="25">
        <f>D10*0.4</f>
        <v/>
      </c>
      <c r="F10" s="25">
        <f>D10-E10</f>
        <v/>
      </c>
      <c r="G10" s="25">
        <f>C10+F10</f>
        <v/>
      </c>
      <c r="H10" t="inlineStr">
        <is>
          <t>Hayır</t>
        </is>
      </c>
    </row>
    <row r="11">
      <c r="A11" t="inlineStr">
        <is>
          <t>Hakediş 7</t>
        </is>
      </c>
      <c r="B11" t="n">
        <v>0</v>
      </c>
      <c r="C11" s="25">
        <f>B11*500</f>
        <v/>
      </c>
      <c r="D11" s="25">
        <f>C11*0.2</f>
        <v/>
      </c>
      <c r="E11" s="25">
        <f>D11*0.4</f>
        <v/>
      </c>
      <c r="F11" s="25">
        <f>D11-E11</f>
        <v/>
      </c>
      <c r="G11" s="25">
        <f>C11+F11</f>
        <v/>
      </c>
      <c r="H11" t="inlineStr">
        <is>
          <t>Hayır</t>
        </is>
      </c>
    </row>
    <row r="12">
      <c r="A12" t="inlineStr">
        <is>
          <t>Hakediş 8</t>
        </is>
      </c>
      <c r="B12" t="n">
        <v>0</v>
      </c>
      <c r="C12" s="25">
        <f>B12*500</f>
        <v/>
      </c>
      <c r="D12" s="25">
        <f>C12*0.2</f>
        <v/>
      </c>
      <c r="E12" s="25">
        <f>D12*0.4</f>
        <v/>
      </c>
      <c r="F12" s="25">
        <f>D12-E12</f>
        <v/>
      </c>
      <c r="G12" s="25">
        <f>C12+F12</f>
        <v/>
      </c>
      <c r="H12" t="inlineStr">
        <is>
          <t>Hayır</t>
        </is>
      </c>
    </row>
    <row r="13">
      <c r="A13" s="1" t="inlineStr">
        <is>
          <t>TOPLAM</t>
        </is>
      </c>
      <c r="B13" s="1">
        <f>SUM(B5:B12)</f>
        <v/>
      </c>
      <c r="C13" s="1">
        <f>SUM(C5:C12)</f>
        <v/>
      </c>
      <c r="D13" s="1">
        <f>SUM(D5:D12)</f>
        <v/>
      </c>
      <c r="E13" s="1">
        <f>SUM(E5:E12)</f>
        <v/>
      </c>
      <c r="F13" s="1">
        <f>SUM(F5:F12)</f>
        <v/>
      </c>
      <c r="G13" s="1">
        <f>SUM(G5:G12)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EKİP &amp; PUANTAJ PLANLAMASI</t>
        </is>
      </c>
    </row>
    <row r="3">
      <c r="A3" s="1" t="inlineStr">
        <is>
          <t>Kadro</t>
        </is>
      </c>
    </row>
    <row r="4">
      <c r="A4" s="1" t="inlineStr">
        <is>
          <t>Pozisyon</t>
        </is>
      </c>
      <c r="B4" s="1" t="inlineStr">
        <is>
          <t>Adet</t>
        </is>
      </c>
      <c r="C4" s="1" t="inlineStr">
        <is>
          <t>Brüt Aylık (TL)</t>
        </is>
      </c>
      <c r="D4" s="1" t="inlineStr">
        <is>
          <t>SGK</t>
        </is>
      </c>
    </row>
    <row r="5">
      <c r="A5" t="inlineStr">
        <is>
          <t>Kalıp ustası</t>
        </is>
      </c>
      <c r="B5" t="n">
        <v>2</v>
      </c>
      <c r="C5" t="n">
        <v>120000</v>
      </c>
      <c r="D5" t="inlineStr">
        <is>
          <t>4A</t>
        </is>
      </c>
    </row>
    <row r="6">
      <c r="A6" t="inlineStr">
        <is>
          <t>Çırak / yardımcı</t>
        </is>
      </c>
      <c r="B6" t="n">
        <v>3</v>
      </c>
      <c r="C6" t="n">
        <v>60000</v>
      </c>
      <c r="D6" t="inlineStr">
        <is>
          <t>4A</t>
        </is>
      </c>
    </row>
    <row r="7">
      <c r="A7" t="inlineStr">
        <is>
          <t>Şantiye mühendisi</t>
        </is>
      </c>
      <c r="B7" t="n">
        <v>1</v>
      </c>
      <c r="C7" t="n">
        <v>70000</v>
      </c>
      <c r="D7" t="inlineStr">
        <is>
          <t>4A</t>
        </is>
      </c>
    </row>
    <row r="8">
      <c r="A8" t="inlineStr">
        <is>
          <t>Şirket sahibi</t>
        </is>
      </c>
      <c r="B8" t="n">
        <v>1</v>
      </c>
      <c r="C8" t="inlineStr">
        <is>
          <t>-</t>
        </is>
      </c>
      <c r="D8" t="inlineStr">
        <is>
          <t>4B Bağ-Kur</t>
        </is>
      </c>
    </row>
    <row r="11">
      <c r="A11" s="1" t="inlineStr">
        <is>
          <t>Aylık Personel Planı</t>
        </is>
      </c>
    </row>
    <row r="12">
      <c r="A12" s="1" t="inlineStr">
        <is>
          <t>Ay</t>
        </is>
      </c>
      <c r="B12" s="1" t="inlineStr">
        <is>
          <t>Planlanan Ekip</t>
        </is>
      </c>
      <c r="C12" s="1" t="inlineStr">
        <is>
          <t>Gerçekleşen Gün-Kişi</t>
        </is>
      </c>
    </row>
    <row r="13">
      <c r="A13" t="inlineStr">
        <is>
          <t>Eyl'26</t>
        </is>
      </c>
      <c r="B13" t="n">
        <v>6</v>
      </c>
      <c r="C13" t="n">
        <v>0</v>
      </c>
    </row>
    <row r="14">
      <c r="A14" t="inlineStr">
        <is>
          <t>Eki'26</t>
        </is>
      </c>
      <c r="B14" t="n">
        <v>6</v>
      </c>
      <c r="C14" t="n">
        <v>0</v>
      </c>
    </row>
    <row r="15">
      <c r="A15" t="inlineStr">
        <is>
          <t>Kas'26</t>
        </is>
      </c>
      <c r="B15" t="n">
        <v>6</v>
      </c>
      <c r="C15" t="n">
        <v>0</v>
      </c>
    </row>
    <row r="16">
      <c r="A16" t="inlineStr">
        <is>
          <t>Ara'26</t>
        </is>
      </c>
      <c r="B16" t="n">
        <v>6</v>
      </c>
      <c r="C16" t="n">
        <v>0</v>
      </c>
    </row>
    <row r="17">
      <c r="A17" t="inlineStr">
        <is>
          <t>Oca'27</t>
        </is>
      </c>
      <c r="B17" t="n">
        <v>6</v>
      </c>
      <c r="C17" t="n">
        <v>0</v>
      </c>
    </row>
    <row r="18">
      <c r="A18" t="inlineStr">
        <is>
          <t>Şub'27</t>
        </is>
      </c>
      <c r="B18" t="n">
        <v>6</v>
      </c>
      <c r="C18" t="n">
        <v>0</v>
      </c>
    </row>
    <row r="19">
      <c r="A19" t="inlineStr">
        <is>
          <t>Mar'27</t>
        </is>
      </c>
      <c r="B19" t="n">
        <v>6</v>
      </c>
      <c r="C19" t="n">
        <v>0</v>
      </c>
    </row>
    <row r="20">
      <c r="A20" t="inlineStr">
        <is>
          <t>Nis'27</t>
        </is>
      </c>
      <c r="B20" t="n">
        <v>6</v>
      </c>
      <c r="C20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2" t="inlineStr">
        <is>
          <t>KPI &amp; PERFORMANS GÖSTERGELERİ</t>
        </is>
      </c>
    </row>
    <row r="3">
      <c r="A3" s="1" t="inlineStr">
        <is>
          <t>KPI</t>
        </is>
      </c>
      <c r="B3" s="1" t="inlineStr">
        <is>
          <t>Hedef</t>
        </is>
      </c>
      <c r="C3" s="1" t="inlineStr">
        <is>
          <t>Birim</t>
        </is>
      </c>
      <c r="D3" s="1" t="inlineStr">
        <is>
          <t>Not</t>
        </is>
      </c>
    </row>
    <row r="4">
      <c r="A4" t="inlineStr">
        <is>
          <t>Planlanan m² / gün (ekip)</t>
        </is>
      </c>
      <c r="B4" t="n">
        <v>68.8</v>
      </c>
      <c r="C4" t="inlineStr">
        <is>
          <t>m²/gün</t>
        </is>
      </c>
      <c r="D4" t="inlineStr">
        <is>
          <t>Gerçekçi senaryo</t>
        </is>
      </c>
      <c r="E4" t="inlineStr">
        <is>
          <t>Gerçekleşen</t>
        </is>
      </c>
      <c r="F4" t="n">
        <v>0</v>
      </c>
    </row>
    <row r="5">
      <c r="A5" t="inlineStr">
        <is>
          <t>Toplam metraj</t>
        </is>
      </c>
      <c r="B5" t="n">
        <v>11773.4</v>
      </c>
      <c r="C5" t="inlineStr">
        <is>
          <t>m²</t>
        </is>
      </c>
      <c r="D5" t="inlineStr">
        <is>
          <t>Kırık ölçü</t>
        </is>
      </c>
      <c r="E5" t="inlineStr">
        <is>
          <t>Gerçekleşen</t>
        </is>
      </c>
      <c r="F5" t="n">
        <v>0</v>
      </c>
    </row>
    <row r="6">
      <c r="A6" t="inlineStr">
        <is>
          <t>Sözleşme süresi</t>
        </is>
      </c>
      <c r="B6" t="n">
        <v>7.5</v>
      </c>
      <c r="C6" t="inlineStr">
        <is>
          <t>ay</t>
        </is>
      </c>
      <c r="D6" t="inlineStr">
        <is>
          <t>Önerilen</t>
        </is>
      </c>
      <c r="E6" t="inlineStr">
        <is>
          <t>Gerçekleşen</t>
        </is>
      </c>
      <c r="F6" t="n">
        <v>0</v>
      </c>
    </row>
    <row r="7">
      <c r="A7" t="inlineStr">
        <is>
          <t>Ekip verimliliği hedefi</t>
        </is>
      </c>
      <c r="B7" t="n">
        <v>85</v>
      </c>
      <c r="C7" t="inlineStr">
        <is>
          <t>%</t>
        </is>
      </c>
      <c r="D7" t="inlineStr">
        <is>
          <t>Plan/gerçekleşen</t>
        </is>
      </c>
      <c r="E7" t="inlineStr">
        <is>
          <t>Gerçekleşen</t>
        </is>
      </c>
      <c r="F7" t="n">
        <v>0</v>
      </c>
    </row>
    <row r="8">
      <c r="A8" t="inlineStr">
        <is>
          <t>İSG olay sayısı</t>
        </is>
      </c>
      <c r="B8" t="n">
        <v>0</v>
      </c>
      <c r="C8" t="inlineStr">
        <is>
          <t>adet</t>
        </is>
      </c>
      <c r="D8" t="inlineStr">
        <is>
          <t>Hedef: 0</t>
        </is>
      </c>
      <c r="E8" t="inlineStr">
        <is>
          <t>Gerçekleşen</t>
        </is>
      </c>
      <c r="F8" t="n">
        <v>0</v>
      </c>
    </row>
    <row r="9">
      <c r="A9" t="inlineStr">
        <is>
          <t>Hakediş gecikme</t>
        </is>
      </c>
      <c r="B9" t="n">
        <v>0</v>
      </c>
      <c r="C9" t="inlineStr">
        <is>
          <t>gün</t>
        </is>
      </c>
      <c r="D9" t="inlineStr">
        <is>
          <t>Hedef: ≤15</t>
        </is>
      </c>
      <c r="E9" t="inlineStr">
        <is>
          <t>Gerçekleşen</t>
        </is>
      </c>
      <c r="F9" t="n">
        <v>0</v>
      </c>
    </row>
    <row r="10">
      <c r="A10" t="inlineStr">
        <is>
          <t>Kalite red oranı</t>
        </is>
      </c>
      <c r="B10" t="n">
        <v>0</v>
      </c>
      <c r="C10" t="inlineStr">
        <is>
          <t>%</t>
        </is>
      </c>
      <c r="D10" t="inlineStr">
        <is>
          <t>Hedef: &lt;2%</t>
        </is>
      </c>
      <c r="E10" t="inlineStr">
        <is>
          <t>Gerçekleşen</t>
        </is>
      </c>
      <c r="F10" t="n">
        <v>0</v>
      </c>
    </row>
    <row r="11">
      <c r="A11" t="inlineStr">
        <is>
          <t>Maliyet sapması</t>
        </is>
      </c>
      <c r="B11" t="n">
        <v>0</v>
      </c>
      <c r="C11" t="inlineStr">
        <is>
          <t>%</t>
        </is>
      </c>
      <c r="D11" t="inlineStr">
        <is>
          <t>Hedef: ±5%</t>
        </is>
      </c>
      <c r="E11" t="inlineStr">
        <is>
          <t>Gerçekleşen</t>
        </is>
      </c>
      <c r="F11" t="n">
        <v>0</v>
      </c>
    </row>
    <row r="14">
      <c r="A14" s="1" t="inlineStr">
        <is>
          <t>Gerçekleşen KPI (saha girişi)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2026-08-15T10:54:30Z</dcterms:created>
  <dcterms:modified xsi:type="dcterms:W3CDTF">2026-08-15T10:54:30Z</dcterms:modified>
</cp:coreProperties>
</file>