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PAK" sheetId="1" state="visible" r:id="rId1"/>
    <sheet name="İMALAT LİSTESİ" sheetId="2" state="visible" r:id="rId2"/>
    <sheet name="HAKEDİŞ DÖNEM" sheetId="3" state="visible" r:id="rId3"/>
    <sheet name="FATURA TASLAĞI" sheetId="4" state="visible" r:id="rId4"/>
    <sheet name="İCM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TL&quot;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/>
    <font>
      <b val="1"/>
      <sz val="12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4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4" borderId="1" pivotButton="0" quotePrefix="0" xfId="0"/>
    <xf numFmtId="0" fontId="2" fillId="4" borderId="1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5" borderId="1" pivotButton="0" quotePrefix="0" xfId="0"/>
    <xf numFmtId="0" fontId="2" fillId="5" borderId="1" pivotButton="0" quotePrefix="0" xfId="0"/>
    <xf numFmtId="164" fontId="2" fillId="5" borderId="1" pivotButton="0" quotePrefix="0" xfId="0"/>
    <xf numFmtId="4" fontId="0" fillId="0" borderId="1" applyAlignment="1" pivotButton="0" quotePrefix="0" xfId="0">
      <alignment horizontal="right" vertical="center" wrapText="1"/>
    </xf>
    <xf numFmtId="10" fontId="0" fillId="0" borderId="1" applyAlignment="1" pivotButton="0" quotePrefix="0" xfId="0">
      <alignment horizontal="right" vertical="center" wrapText="1"/>
    </xf>
    <xf numFmtId="164" fontId="0" fillId="0" borderId="0" pivotButton="0" quotePrefix="0" xfId="0"/>
    <xf numFmtId="0" fontId="2" fillId="5" borderId="0" pivotButton="0" quotePrefix="0" xfId="0"/>
    <xf numFmtId="164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</cols>
  <sheetData>
    <row r="1">
      <c r="A1" s="1" t="inlineStr">
        <is>
          <t>HAKEDİŞ PAKETİ — VİLLA TADİLAT</t>
        </is>
      </c>
    </row>
    <row r="3">
      <c r="A3" s="2" t="inlineStr">
        <is>
          <t>Proje</t>
        </is>
      </c>
      <c r="B3" s="3" t="inlineStr">
        <is>
          <t>VAN / EDREMİT / ELMALIK VİLLA TADİLATI</t>
        </is>
      </c>
    </row>
    <row r="4">
      <c r="A4" s="2" t="inlineStr">
        <is>
          <t>Teklif referansı</t>
        </is>
      </c>
      <c r="B4" s="3" t="inlineStr">
        <is>
          <t>Teklif_1_2328</t>
        </is>
      </c>
    </row>
    <row r="5">
      <c r="A5" s="2" t="inlineStr">
        <is>
          <t>Hazırlık tarihi</t>
        </is>
      </c>
      <c r="B5" s="3" t="inlineStr">
        <is>
          <t>22.10.2026</t>
        </is>
      </c>
    </row>
    <row r="6">
      <c r="A6" s="4" t="inlineStr"/>
      <c r="B6" s="3" t="inlineStr"/>
    </row>
    <row r="7">
      <c r="A7" s="2" t="inlineStr">
        <is>
          <t>Sözleşme matrahı (imalat)</t>
        </is>
      </c>
      <c r="B7" s="3" t="inlineStr">
        <is>
          <t>576,023.00 TL</t>
        </is>
      </c>
    </row>
    <row r="8">
      <c r="A8" s="2" t="inlineStr">
        <is>
          <t>Yüklenici kâr / genel gider (%20)</t>
        </is>
      </c>
      <c r="B8" s="3" t="inlineStr">
        <is>
          <t>115,204.60 TL</t>
        </is>
      </c>
    </row>
    <row r="9">
      <c r="A9" s="2" t="inlineStr">
        <is>
          <t>Teklif genel toplam (Teklif_1_2328)</t>
        </is>
      </c>
      <c r="B9" s="3" t="inlineStr">
        <is>
          <t>691,227.60 TL</t>
        </is>
      </c>
    </row>
    <row r="10">
      <c r="A10" s="2" t="inlineStr">
        <is>
          <t>KDV (%20 — teklifte ayrılmamış, faturada)</t>
        </is>
      </c>
      <c r="B10" s="3" t="inlineStr">
        <is>
          <t>138,245.52 TL (matrah 691,227.60 TL üzerinden)</t>
        </is>
      </c>
    </row>
    <row r="11">
      <c r="A11" s="4" t="inlineStr"/>
      <c r="B11" s="3" t="inlineStr"/>
    </row>
    <row r="12">
      <c r="A12" s="2" t="inlineStr">
        <is>
          <t>Detaylı fiyatlı kalem toplamı</t>
        </is>
      </c>
      <c r="B12" s="3" t="inlineStr">
        <is>
          <t>389,261.50 TL</t>
        </is>
      </c>
    </row>
    <row r="13">
      <c r="A13" s="2" t="inlineStr">
        <is>
          <t>Diğer kalemler (götürü / birim fiyat teklifte ayrılmamış)</t>
        </is>
      </c>
      <c r="B13" s="3" t="inlineStr">
        <is>
          <t>186,761.50 TL</t>
        </is>
      </c>
    </row>
    <row r="14">
      <c r="A14" s="4" t="inlineStr"/>
      <c r="B14" s="3" t="inlineStr"/>
    </row>
    <row r="15">
      <c r="A15" s="2" t="inlineStr">
        <is>
          <t>Dosya içeriği</t>
        </is>
      </c>
      <c r="B15" s="3" t="inlineStr">
        <is>
          <t>1) İMALAT LİSTESİ — sözleşme kalemleri | 2) HAKEDİŞ DÖNEM — bu dönem ilerleme | 3) FATURA TASLAĞI | 4) İCMAL</t>
        </is>
      </c>
    </row>
    <row r="16">
      <c r="A16" s="2" t="inlineStr">
        <is>
          <t>Not</t>
        </is>
      </c>
      <c r="B16" s="3" t="inlineStr">
        <is>
          <t>Hakediş; çift imzalı saha tutanağı ve tamamlanan imalat oranına göre düzenlenir. Götürü kalemlerde yüzde ilerleme kullanılabilir.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8" customWidth="1" min="3" max="3"/>
    <col width="10" customWidth="1" min="4" max="4"/>
    <col width="8" customWidth="1" min="5" max="5"/>
    <col width="12" customWidth="1" min="6" max="6"/>
    <col width="14" customWidth="1" min="7" max="7"/>
    <col width="36" customWidth="1" min="8" max="8"/>
  </cols>
  <sheetData>
    <row r="1">
      <c r="A1" s="5" t="inlineStr">
        <is>
          <t>SÖZLEŞME İMALAT CETVELİ — VAN / EDREMİT / ELMALIK VİLLA TADİLATI</t>
        </is>
      </c>
    </row>
    <row r="3">
      <c r="A3" s="6" t="inlineStr">
        <is>
          <t>Sıra</t>
        </is>
      </c>
      <c r="B3" s="6" t="inlineStr">
        <is>
          <t>Poz</t>
        </is>
      </c>
      <c r="C3" s="6" t="inlineStr">
        <is>
          <t>İmalat kalemi</t>
        </is>
      </c>
      <c r="D3" s="6" t="inlineStr">
        <is>
          <t>Söz. miktar</t>
        </is>
      </c>
      <c r="E3" s="6" t="inlineStr">
        <is>
          <t>Birim</t>
        </is>
      </c>
      <c r="F3" s="6" t="inlineStr">
        <is>
          <t>Birim fiyat (TL)</t>
        </is>
      </c>
      <c r="G3" s="6" t="inlineStr">
        <is>
          <t>Sözleşme tutarı (TL)</t>
        </is>
      </c>
      <c r="H3" s="6" t="inlineStr">
        <is>
          <t>Açıklama / mahal</t>
        </is>
      </c>
    </row>
    <row r="4">
      <c r="A4" s="7" t="n">
        <v>1</v>
      </c>
      <c r="B4" s="7" t="inlineStr">
        <is>
          <t>T-01</t>
        </is>
      </c>
      <c r="C4" s="7" t="inlineStr">
        <is>
          <t>Elektrik tesisatı</t>
        </is>
      </c>
      <c r="D4" s="8" t="n"/>
      <c r="E4" s="7" t="inlineStr">
        <is>
          <t>götürü</t>
        </is>
      </c>
      <c r="F4" s="9" t="n"/>
      <c r="G4" s="9" t="n"/>
      <c r="H4" s="10" t="inlineStr">
        <is>
          <t>Genel — teklif toplamı içinde</t>
        </is>
      </c>
    </row>
    <row r="5">
      <c r="A5" s="7" t="n">
        <v>2</v>
      </c>
      <c r="B5" s="7" t="inlineStr">
        <is>
          <t>T-02</t>
        </is>
      </c>
      <c r="C5" s="7" t="inlineStr">
        <is>
          <t>Mekanik tesisat</t>
        </is>
      </c>
      <c r="D5" s="8" t="n"/>
      <c r="E5" s="7" t="inlineStr">
        <is>
          <t>götürü</t>
        </is>
      </c>
      <c r="F5" s="9" t="n"/>
      <c r="G5" s="9" t="n"/>
      <c r="H5" s="10" t="inlineStr">
        <is>
          <t>Genel — teklif toplamı içinde</t>
        </is>
      </c>
    </row>
    <row r="6">
      <c r="A6" s="11" t="n">
        <v>3</v>
      </c>
      <c r="B6" s="11" t="inlineStr">
        <is>
          <t>T-03</t>
        </is>
      </c>
      <c r="C6" s="11" t="inlineStr">
        <is>
          <t>Tavan alçıpan</t>
        </is>
      </c>
      <c r="D6" s="12" t="n">
        <v>43.73</v>
      </c>
      <c r="E6" s="11" t="inlineStr">
        <is>
          <t>m²</t>
        </is>
      </c>
      <c r="F6" s="13" t="n">
        <v>750</v>
      </c>
      <c r="G6" s="13" t="n">
        <v>32797.5</v>
      </c>
      <c r="H6" s="14" t="inlineStr">
        <is>
          <t>Mutfak — Z.Hol — G.Odası</t>
        </is>
      </c>
    </row>
    <row r="7">
      <c r="A7" s="11" t="n">
        <v>4</v>
      </c>
      <c r="B7" s="11" t="inlineStr">
        <is>
          <t>T-04</t>
        </is>
      </c>
      <c r="C7" s="11" t="inlineStr">
        <is>
          <t>Gergi tavan</t>
        </is>
      </c>
      <c r="D7" s="12" t="n">
        <v>5.35</v>
      </c>
      <c r="E7" s="11" t="inlineStr">
        <is>
          <t>m²</t>
        </is>
      </c>
      <c r="F7" s="13" t="n">
        <v>2500</v>
      </c>
      <c r="G7" s="13" t="n">
        <v>13375</v>
      </c>
      <c r="H7" s="14" t="inlineStr">
        <is>
          <t>Giyinme odası</t>
        </is>
      </c>
    </row>
    <row r="8">
      <c r="A8" s="11" t="n">
        <v>5</v>
      </c>
      <c r="B8" s="11" t="inlineStr">
        <is>
          <t>T-05</t>
        </is>
      </c>
      <c r="C8" s="11" t="inlineStr">
        <is>
          <t>Duvar çıtası</t>
        </is>
      </c>
      <c r="D8" s="12" t="n">
        <v>103.06</v>
      </c>
      <c r="E8" s="11" t="inlineStr">
        <is>
          <t>mt</t>
        </is>
      </c>
      <c r="F8" s="13" t="n">
        <v>650</v>
      </c>
      <c r="G8" s="13" t="n">
        <v>66989</v>
      </c>
      <c r="H8" s="14" t="inlineStr">
        <is>
          <t>Mutfak, hol, 2. kat hol</t>
        </is>
      </c>
    </row>
    <row r="9">
      <c r="A9" s="7" t="n">
        <v>6</v>
      </c>
      <c r="B9" s="7" t="inlineStr">
        <is>
          <t>T-06</t>
        </is>
      </c>
      <c r="C9" s="7" t="inlineStr">
        <is>
          <t>Boya</t>
        </is>
      </c>
      <c r="D9" s="8" t="n"/>
      <c r="E9" s="7" t="inlineStr">
        <is>
          <t>m²</t>
        </is>
      </c>
      <c r="F9" s="9" t="n"/>
      <c r="G9" s="9" t="n"/>
      <c r="H9" s="10" t="inlineStr">
        <is>
          <t>Genel — teklif toplamı içinde</t>
        </is>
      </c>
    </row>
    <row r="10">
      <c r="A10" s="11" t="n">
        <v>7</v>
      </c>
      <c r="B10" s="11" t="inlineStr">
        <is>
          <t>T-07</t>
        </is>
      </c>
      <c r="C10" s="11" t="inlineStr">
        <is>
          <t>Duvar kağıdı</t>
        </is>
      </c>
      <c r="D10" s="12" t="n">
        <v>81</v>
      </c>
      <c r="E10" s="11" t="inlineStr">
        <is>
          <t>m²</t>
        </is>
      </c>
      <c r="F10" s="13" t="n">
        <v>2500</v>
      </c>
      <c r="G10" s="13" t="n">
        <v>202500</v>
      </c>
      <c r="H10" s="14" t="inlineStr">
        <is>
          <t>Çalışma odası, yatak odaları (8 rulo)</t>
        </is>
      </c>
    </row>
    <row r="11">
      <c r="A11" s="11" t="n">
        <v>8</v>
      </c>
      <c r="B11" s="11" t="inlineStr">
        <is>
          <t>T-08</t>
        </is>
      </c>
      <c r="C11" s="11" t="inlineStr">
        <is>
          <t>İtalyan boya (dekoratif)</t>
        </is>
      </c>
      <c r="D11" s="12" t="n">
        <v>46</v>
      </c>
      <c r="E11" s="11" t="inlineStr">
        <is>
          <t>m²</t>
        </is>
      </c>
      <c r="F11" s="13" t="n">
        <v>1600</v>
      </c>
      <c r="G11" s="13" t="n">
        <v>73600</v>
      </c>
      <c r="H11" s="14" t="inlineStr">
        <is>
          <t>Merdiven traverten</t>
        </is>
      </c>
    </row>
    <row r="12">
      <c r="A12" s="7" t="n">
        <v>9</v>
      </c>
      <c r="B12" s="7" t="inlineStr">
        <is>
          <t>T-09</t>
        </is>
      </c>
      <c r="C12" s="7" t="inlineStr">
        <is>
          <t>Mobilya (mutfak / g. odası / vestiyer)</t>
        </is>
      </c>
      <c r="D12" s="8" t="n"/>
      <c r="E12" s="7" t="inlineStr">
        <is>
          <t>m²</t>
        </is>
      </c>
      <c r="F12" s="9" t="n"/>
      <c r="G12" s="9" t="n"/>
      <c r="H12" s="10" t="inlineStr">
        <is>
          <t>Teklif toplamı içinde</t>
        </is>
      </c>
    </row>
    <row r="13">
      <c r="A13" s="7" t="n">
        <v>10</v>
      </c>
      <c r="B13" s="7" t="inlineStr">
        <is>
          <t>T-10</t>
        </is>
      </c>
      <c r="C13" s="7" t="inlineStr">
        <is>
          <t>Tezgah</t>
        </is>
      </c>
      <c r="D13" s="8" t="n">
        <v>5.4</v>
      </c>
      <c r="E13" s="7" t="inlineStr">
        <is>
          <t>mtül</t>
        </is>
      </c>
      <c r="F13" s="9" t="n"/>
      <c r="G13" s="9" t="n"/>
      <c r="H13" s="10" t="inlineStr">
        <is>
          <t>Mutfak</t>
        </is>
      </c>
    </row>
    <row r="14">
      <c r="A14" s="7" t="n">
        <v>11</v>
      </c>
      <c r="B14" s="7" t="inlineStr">
        <is>
          <t>T-11</t>
        </is>
      </c>
      <c r="C14" s="7" t="inlineStr">
        <is>
          <t>Tezgah arası</t>
        </is>
      </c>
      <c r="D14" s="8" t="n">
        <v>7.4</v>
      </c>
      <c r="E14" s="7" t="inlineStr">
        <is>
          <t>mtül</t>
        </is>
      </c>
      <c r="F14" s="9" t="n"/>
      <c r="G14" s="9" t="n"/>
      <c r="H14" s="10" t="inlineStr">
        <is>
          <t>Mutfak</t>
        </is>
      </c>
    </row>
    <row r="15">
      <c r="A15" s="7" t="n">
        <v>12</v>
      </c>
      <c r="B15" s="7" t="inlineStr">
        <is>
          <t>T-12</t>
        </is>
      </c>
      <c r="C15" s="7" t="inlineStr">
        <is>
          <t>Zemin seramik</t>
        </is>
      </c>
      <c r="D15" s="8" t="n">
        <v>36</v>
      </c>
      <c r="E15" s="7" t="inlineStr">
        <is>
          <t>m²</t>
        </is>
      </c>
      <c r="F15" s="9" t="n"/>
      <c r="G15" s="9" t="n"/>
      <c r="H15" s="10" t="inlineStr">
        <is>
          <t>Mutfak — ara koridor (100×100)</t>
        </is>
      </c>
    </row>
    <row r="16">
      <c r="A16" s="7" t="n">
        <v>13</v>
      </c>
      <c r="B16" s="7" t="inlineStr">
        <is>
          <t>T-13</t>
        </is>
      </c>
      <c r="C16" s="7" t="inlineStr">
        <is>
          <t>Zemin seramik çıtası</t>
        </is>
      </c>
      <c r="D16" s="8" t="n">
        <v>12.14</v>
      </c>
      <c r="E16" s="7" t="inlineStr">
        <is>
          <t>mt</t>
        </is>
      </c>
      <c r="F16" s="9" t="n"/>
      <c r="G16" s="9" t="n"/>
      <c r="H16" s="10" t="inlineStr">
        <is>
          <t>Mutfak — G.Hol (4 boy)</t>
        </is>
      </c>
    </row>
    <row r="17">
      <c r="A17" s="7" t="n">
        <v>14</v>
      </c>
      <c r="B17" s="7" t="inlineStr">
        <is>
          <t>T-14</t>
        </is>
      </c>
      <c r="C17" s="7" t="inlineStr">
        <is>
          <t>Süpürgelik</t>
        </is>
      </c>
      <c r="D17" s="8" t="n"/>
      <c r="E17" s="7" t="inlineStr">
        <is>
          <t>mt</t>
        </is>
      </c>
      <c r="F17" s="9" t="n"/>
      <c r="G17" s="9" t="n"/>
      <c r="H17" s="10" t="inlineStr">
        <is>
          <t>Genel — teklif toplamı içinde</t>
        </is>
      </c>
    </row>
    <row r="18">
      <c r="A18" s="7" t="n">
        <v>15</v>
      </c>
      <c r="B18" s="7" t="inlineStr">
        <is>
          <t>T-15</t>
        </is>
      </c>
      <c r="C18" s="7" t="inlineStr">
        <is>
          <t>Aydınlatma armatürleri</t>
        </is>
      </c>
      <c r="D18" s="8" t="n"/>
      <c r="E18" s="7" t="inlineStr">
        <is>
          <t>adet</t>
        </is>
      </c>
      <c r="F18" s="9" t="n"/>
      <c r="G18" s="9" t="n"/>
      <c r="H18" s="10" t="inlineStr">
        <is>
          <t>Genel — teklif toplamı içinde</t>
        </is>
      </c>
    </row>
    <row r="19">
      <c r="A19" s="15" t="n"/>
      <c r="B19" s="15" t="n"/>
      <c r="C19" s="16" t="inlineStr">
        <is>
          <t>Detaylı kalem toplamı</t>
        </is>
      </c>
      <c r="D19" s="15" t="n"/>
      <c r="E19" s="15" t="n"/>
      <c r="F19" s="15" t="n"/>
      <c r="G19" s="16" t="n">
        <v>389261.5</v>
      </c>
      <c r="H19" s="15" t="n"/>
    </row>
    <row r="20">
      <c r="A20" s="17" t="n"/>
      <c r="B20" s="17" t="n"/>
      <c r="C20" s="18" t="inlineStr">
        <is>
          <t>Götürü / fiyatı ayrılmamış kalemler payı</t>
        </is>
      </c>
      <c r="D20" s="17" t="n"/>
      <c r="E20" s="17" t="n"/>
      <c r="F20" s="17" t="n"/>
      <c r="G20" s="18" t="n">
        <v>186761.5</v>
      </c>
      <c r="H20" s="17" t="n"/>
    </row>
    <row r="21">
      <c r="A21" s="19" t="n"/>
      <c r="B21" s="19" t="n"/>
      <c r="C21" s="20" t="inlineStr">
        <is>
          <t>SÖZLEŞME MATRAHI (KDV hariç)</t>
        </is>
      </c>
      <c r="D21" s="19" t="n"/>
      <c r="E21" s="19" t="n"/>
      <c r="F21" s="19" t="n"/>
      <c r="G21" s="21" t="n">
        <v>576023</v>
      </c>
      <c r="H21" s="19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6" customWidth="1" min="3" max="3"/>
    <col width="8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5" t="inlineStr">
        <is>
          <t>DÖNEMSEL HAKEDİŞ CETVELİ</t>
        </is>
      </c>
    </row>
    <row r="2">
      <c r="A2" t="inlineStr">
        <is>
          <t>Proje: VAN / EDREMİT / ELMALIK VİLLA TADİLATI | Dönem: ____ / ____ — ____ / ____ | Hakediş no: ___</t>
        </is>
      </c>
    </row>
    <row r="4">
      <c r="A4" s="6" t="inlineStr">
        <is>
          <t>Sıra</t>
        </is>
      </c>
      <c r="B4" s="6" t="inlineStr">
        <is>
          <t>Poz</t>
        </is>
      </c>
      <c r="C4" s="6" t="inlineStr">
        <is>
          <t>İmalat kalemi</t>
        </is>
      </c>
      <c r="D4" s="6" t="inlineStr">
        <is>
          <t>Birim</t>
        </is>
      </c>
      <c r="E4" s="6" t="inlineStr">
        <is>
          <t>Söz. tutar (TL)</t>
        </is>
      </c>
      <c r="F4" s="6" t="inlineStr">
        <is>
          <t>Önceki küm. (TL)</t>
        </is>
      </c>
      <c r="G4" s="6" t="inlineStr">
        <is>
          <t>Bu dönem %</t>
        </is>
      </c>
      <c r="H4" s="6" t="inlineStr">
        <is>
          <t>Bu dönem miktar</t>
        </is>
      </c>
      <c r="I4" s="6" t="inlineStr">
        <is>
          <t>Bu dönem tutar (TL)</t>
        </is>
      </c>
      <c r="J4" s="6" t="inlineStr">
        <is>
          <t>Kümülatif (TL)</t>
        </is>
      </c>
      <c r="K4" s="6" t="inlineStr">
        <is>
          <t>Kalan (TL)</t>
        </is>
      </c>
    </row>
    <row r="5">
      <c r="A5" s="11" t="n">
        <v>1</v>
      </c>
      <c r="B5" s="11" t="inlineStr">
        <is>
          <t>T-01</t>
        </is>
      </c>
      <c r="C5" s="11" t="inlineStr">
        <is>
          <t>Elektrik tesisatı</t>
        </is>
      </c>
      <c r="D5" s="11" t="inlineStr">
        <is>
          <t>götürü</t>
        </is>
      </c>
      <c r="E5" s="12" t="n"/>
      <c r="F5" s="22" t="n">
        <v>0</v>
      </c>
      <c r="G5" s="23" t="n"/>
      <c r="H5" s="22" t="n"/>
      <c r="I5" s="22">
        <f>IF(OR(G5="",NOT(ISNUMBER(E5))),"",E5*G5)</f>
        <v/>
      </c>
      <c r="J5" s="22">
        <f>F5+I5</f>
        <v/>
      </c>
      <c r="K5" s="22">
        <f>IF(ISNUMBER(E5),E5-J5,"")</f>
        <v/>
      </c>
    </row>
    <row r="6">
      <c r="A6" s="11" t="n">
        <v>2</v>
      </c>
      <c r="B6" s="11" t="inlineStr">
        <is>
          <t>T-02</t>
        </is>
      </c>
      <c r="C6" s="11" t="inlineStr">
        <is>
          <t>Mekanik tesisat</t>
        </is>
      </c>
      <c r="D6" s="11" t="inlineStr">
        <is>
          <t>götürü</t>
        </is>
      </c>
      <c r="E6" s="12" t="n"/>
      <c r="F6" s="22" t="n">
        <v>0</v>
      </c>
      <c r="G6" s="23" t="n"/>
      <c r="H6" s="22" t="n"/>
      <c r="I6" s="22">
        <f>IF(OR(G6="",NOT(ISNUMBER(E6))),"",E6*G6)</f>
        <v/>
      </c>
      <c r="J6" s="22">
        <f>F6+I6</f>
        <v/>
      </c>
      <c r="K6" s="22">
        <f>IF(ISNUMBER(E6),E6-J6,"")</f>
        <v/>
      </c>
    </row>
    <row r="7">
      <c r="A7" s="11" t="n">
        <v>3</v>
      </c>
      <c r="B7" s="11" t="inlineStr">
        <is>
          <t>T-03</t>
        </is>
      </c>
      <c r="C7" s="11" t="inlineStr">
        <is>
          <t>Tavan alçıpan</t>
        </is>
      </c>
      <c r="D7" s="11" t="inlineStr">
        <is>
          <t>m²</t>
        </is>
      </c>
      <c r="E7" s="12" t="n">
        <v>32797.5</v>
      </c>
      <c r="F7" s="22" t="n">
        <v>0</v>
      </c>
      <c r="G7" s="23" t="n"/>
      <c r="H7" s="22" t="n"/>
      <c r="I7" s="22">
        <f>IF(OR(G7="",NOT(ISNUMBER(E7))),"",E7*G7)</f>
        <v/>
      </c>
      <c r="J7" s="22">
        <f>F7+I7</f>
        <v/>
      </c>
      <c r="K7" s="22">
        <f>IF(ISNUMBER(E7),E7-J7,"")</f>
        <v/>
      </c>
    </row>
    <row r="8">
      <c r="A8" s="11" t="n">
        <v>4</v>
      </c>
      <c r="B8" s="11" t="inlineStr">
        <is>
          <t>T-04</t>
        </is>
      </c>
      <c r="C8" s="11" t="inlineStr">
        <is>
          <t>Gergi tavan</t>
        </is>
      </c>
      <c r="D8" s="11" t="inlineStr">
        <is>
          <t>m²</t>
        </is>
      </c>
      <c r="E8" s="12" t="n">
        <v>13375</v>
      </c>
      <c r="F8" s="22" t="n">
        <v>0</v>
      </c>
      <c r="G8" s="23" t="n"/>
      <c r="H8" s="22" t="n"/>
      <c r="I8" s="22">
        <f>IF(OR(G8="",NOT(ISNUMBER(E8))),"",E8*G8)</f>
        <v/>
      </c>
      <c r="J8" s="22">
        <f>F8+I8</f>
        <v/>
      </c>
      <c r="K8" s="22">
        <f>IF(ISNUMBER(E8),E8-J8,"")</f>
        <v/>
      </c>
    </row>
    <row r="9">
      <c r="A9" s="11" t="n">
        <v>5</v>
      </c>
      <c r="B9" s="11" t="inlineStr">
        <is>
          <t>T-05</t>
        </is>
      </c>
      <c r="C9" s="11" t="inlineStr">
        <is>
          <t>Duvar çıtası</t>
        </is>
      </c>
      <c r="D9" s="11" t="inlineStr">
        <is>
          <t>mt</t>
        </is>
      </c>
      <c r="E9" s="12" t="n">
        <v>66989</v>
      </c>
      <c r="F9" s="22" t="n">
        <v>0</v>
      </c>
      <c r="G9" s="23" t="n"/>
      <c r="H9" s="22" t="n"/>
      <c r="I9" s="22">
        <f>IF(OR(G9="",NOT(ISNUMBER(E9))),"",E9*G9)</f>
        <v/>
      </c>
      <c r="J9" s="22">
        <f>F9+I9</f>
        <v/>
      </c>
      <c r="K9" s="22">
        <f>IF(ISNUMBER(E9),E9-J9,"")</f>
        <v/>
      </c>
    </row>
    <row r="10">
      <c r="A10" s="11" t="n">
        <v>6</v>
      </c>
      <c r="B10" s="11" t="inlineStr">
        <is>
          <t>T-06</t>
        </is>
      </c>
      <c r="C10" s="11" t="inlineStr">
        <is>
          <t>Boya</t>
        </is>
      </c>
      <c r="D10" s="11" t="inlineStr">
        <is>
          <t>m²</t>
        </is>
      </c>
      <c r="E10" s="12" t="n"/>
      <c r="F10" s="22" t="n">
        <v>0</v>
      </c>
      <c r="G10" s="23" t="n"/>
      <c r="H10" s="22" t="n"/>
      <c r="I10" s="22">
        <f>IF(OR(G10="",NOT(ISNUMBER(E10))),"",E10*G10)</f>
        <v/>
      </c>
      <c r="J10" s="22">
        <f>F10+I10</f>
        <v/>
      </c>
      <c r="K10" s="22">
        <f>IF(ISNUMBER(E10),E10-J10,"")</f>
        <v/>
      </c>
    </row>
    <row r="11">
      <c r="A11" s="11" t="n">
        <v>7</v>
      </c>
      <c r="B11" s="11" t="inlineStr">
        <is>
          <t>T-07</t>
        </is>
      </c>
      <c r="C11" s="11" t="inlineStr">
        <is>
          <t>Duvar kağıdı</t>
        </is>
      </c>
      <c r="D11" s="11" t="inlineStr">
        <is>
          <t>m²</t>
        </is>
      </c>
      <c r="E11" s="12" t="n">
        <v>202500</v>
      </c>
      <c r="F11" s="22" t="n">
        <v>0</v>
      </c>
      <c r="G11" s="23" t="n"/>
      <c r="H11" s="22" t="n"/>
      <c r="I11" s="22">
        <f>IF(OR(G11="",NOT(ISNUMBER(E11))),"",E11*G11)</f>
        <v/>
      </c>
      <c r="J11" s="22">
        <f>F11+I11</f>
        <v/>
      </c>
      <c r="K11" s="22">
        <f>IF(ISNUMBER(E11),E11-J11,"")</f>
        <v/>
      </c>
    </row>
    <row r="12">
      <c r="A12" s="11" t="n">
        <v>8</v>
      </c>
      <c r="B12" s="11" t="inlineStr">
        <is>
          <t>T-08</t>
        </is>
      </c>
      <c r="C12" s="11" t="inlineStr">
        <is>
          <t>İtalyan boya (dekoratif)</t>
        </is>
      </c>
      <c r="D12" s="11" t="inlineStr">
        <is>
          <t>m²</t>
        </is>
      </c>
      <c r="E12" s="12" t="n">
        <v>73600</v>
      </c>
      <c r="F12" s="22" t="n">
        <v>0</v>
      </c>
      <c r="G12" s="23" t="n"/>
      <c r="H12" s="22" t="n"/>
      <c r="I12" s="22">
        <f>IF(OR(G12="",NOT(ISNUMBER(E12))),"",E12*G12)</f>
        <v/>
      </c>
      <c r="J12" s="22">
        <f>F12+I12</f>
        <v/>
      </c>
      <c r="K12" s="22">
        <f>IF(ISNUMBER(E12),E12-J12,"")</f>
        <v/>
      </c>
    </row>
    <row r="13">
      <c r="A13" s="11" t="n">
        <v>9</v>
      </c>
      <c r="B13" s="11" t="inlineStr">
        <is>
          <t>T-09</t>
        </is>
      </c>
      <c r="C13" s="11" t="inlineStr">
        <is>
          <t>Mobilya (mutfak / g. odası / vestiyer)</t>
        </is>
      </c>
      <c r="D13" s="11" t="inlineStr">
        <is>
          <t>m²</t>
        </is>
      </c>
      <c r="E13" s="12" t="n"/>
      <c r="F13" s="22" t="n">
        <v>0</v>
      </c>
      <c r="G13" s="23" t="n"/>
      <c r="H13" s="22" t="n"/>
      <c r="I13" s="22">
        <f>IF(OR(G13="",NOT(ISNUMBER(E13))),"",E13*G13)</f>
        <v/>
      </c>
      <c r="J13" s="22">
        <f>F13+I13</f>
        <v/>
      </c>
      <c r="K13" s="22">
        <f>IF(ISNUMBER(E13),E13-J13,"")</f>
        <v/>
      </c>
    </row>
    <row r="14">
      <c r="A14" s="11" t="n">
        <v>10</v>
      </c>
      <c r="B14" s="11" t="inlineStr">
        <is>
          <t>T-10</t>
        </is>
      </c>
      <c r="C14" s="11" t="inlineStr">
        <is>
          <t>Tezgah</t>
        </is>
      </c>
      <c r="D14" s="11" t="inlineStr">
        <is>
          <t>mtül</t>
        </is>
      </c>
      <c r="E14" s="12" t="n"/>
      <c r="F14" s="22" t="n">
        <v>0</v>
      </c>
      <c r="G14" s="23" t="n"/>
      <c r="H14" s="22" t="n"/>
      <c r="I14" s="22">
        <f>IF(OR(G14="",NOT(ISNUMBER(E14))),"",E14*G14)</f>
        <v/>
      </c>
      <c r="J14" s="22">
        <f>F14+I14</f>
        <v/>
      </c>
      <c r="K14" s="22">
        <f>IF(ISNUMBER(E14),E14-J14,"")</f>
        <v/>
      </c>
    </row>
    <row r="15">
      <c r="A15" s="11" t="n">
        <v>11</v>
      </c>
      <c r="B15" s="11" t="inlineStr">
        <is>
          <t>T-11</t>
        </is>
      </c>
      <c r="C15" s="11" t="inlineStr">
        <is>
          <t>Tezgah arası</t>
        </is>
      </c>
      <c r="D15" s="11" t="inlineStr">
        <is>
          <t>mtül</t>
        </is>
      </c>
      <c r="E15" s="12" t="n"/>
      <c r="F15" s="22" t="n">
        <v>0</v>
      </c>
      <c r="G15" s="23" t="n"/>
      <c r="H15" s="22" t="n"/>
      <c r="I15" s="22">
        <f>IF(OR(G15="",NOT(ISNUMBER(E15))),"",E15*G15)</f>
        <v/>
      </c>
      <c r="J15" s="22">
        <f>F15+I15</f>
        <v/>
      </c>
      <c r="K15" s="22">
        <f>IF(ISNUMBER(E15),E15-J15,"")</f>
        <v/>
      </c>
    </row>
    <row r="16">
      <c r="A16" s="11" t="n">
        <v>12</v>
      </c>
      <c r="B16" s="11" t="inlineStr">
        <is>
          <t>T-12</t>
        </is>
      </c>
      <c r="C16" s="11" t="inlineStr">
        <is>
          <t>Zemin seramik</t>
        </is>
      </c>
      <c r="D16" s="11" t="inlineStr">
        <is>
          <t>m²</t>
        </is>
      </c>
      <c r="E16" s="12" t="n"/>
      <c r="F16" s="22" t="n">
        <v>0</v>
      </c>
      <c r="G16" s="23" t="n"/>
      <c r="H16" s="22" t="n"/>
      <c r="I16" s="22">
        <f>IF(OR(G16="",NOT(ISNUMBER(E16))),"",E16*G16)</f>
        <v/>
      </c>
      <c r="J16" s="22">
        <f>F16+I16</f>
        <v/>
      </c>
      <c r="K16" s="22">
        <f>IF(ISNUMBER(E16),E16-J16,"")</f>
        <v/>
      </c>
    </row>
    <row r="17">
      <c r="A17" s="11" t="n">
        <v>13</v>
      </c>
      <c r="B17" s="11" t="inlineStr">
        <is>
          <t>T-13</t>
        </is>
      </c>
      <c r="C17" s="11" t="inlineStr">
        <is>
          <t>Zemin seramik çıtası</t>
        </is>
      </c>
      <c r="D17" s="11" t="inlineStr">
        <is>
          <t>mt</t>
        </is>
      </c>
      <c r="E17" s="12" t="n"/>
      <c r="F17" s="22" t="n">
        <v>0</v>
      </c>
      <c r="G17" s="23" t="n"/>
      <c r="H17" s="22" t="n"/>
      <c r="I17" s="22">
        <f>IF(OR(G17="",NOT(ISNUMBER(E17))),"",E17*G17)</f>
        <v/>
      </c>
      <c r="J17" s="22">
        <f>F17+I17</f>
        <v/>
      </c>
      <c r="K17" s="22">
        <f>IF(ISNUMBER(E17),E17-J17,"")</f>
        <v/>
      </c>
    </row>
    <row r="18">
      <c r="A18" s="11" t="n">
        <v>14</v>
      </c>
      <c r="B18" s="11" t="inlineStr">
        <is>
          <t>T-14</t>
        </is>
      </c>
      <c r="C18" s="11" t="inlineStr">
        <is>
          <t>Süpürgelik</t>
        </is>
      </c>
      <c r="D18" s="11" t="inlineStr">
        <is>
          <t>mt</t>
        </is>
      </c>
      <c r="E18" s="12" t="n"/>
      <c r="F18" s="22" t="n">
        <v>0</v>
      </c>
      <c r="G18" s="23" t="n"/>
      <c r="H18" s="22" t="n"/>
      <c r="I18" s="22">
        <f>IF(OR(G18="",NOT(ISNUMBER(E18))),"",E18*G18)</f>
        <v/>
      </c>
      <c r="J18" s="22">
        <f>F18+I18</f>
        <v/>
      </c>
      <c r="K18" s="22">
        <f>IF(ISNUMBER(E18),E18-J18,"")</f>
        <v/>
      </c>
    </row>
    <row r="19">
      <c r="A19" s="11" t="n">
        <v>15</v>
      </c>
      <c r="B19" s="11" t="inlineStr">
        <is>
          <t>T-15</t>
        </is>
      </c>
      <c r="C19" s="11" t="inlineStr">
        <is>
          <t>Aydınlatma armatürleri</t>
        </is>
      </c>
      <c r="D19" s="11" t="inlineStr">
        <is>
          <t>adet</t>
        </is>
      </c>
      <c r="E19" s="12" t="n"/>
      <c r="F19" s="22" t="n">
        <v>0</v>
      </c>
      <c r="G19" s="23" t="n"/>
      <c r="H19" s="22" t="n"/>
      <c r="I19" s="22">
        <f>IF(OR(G19="",NOT(ISNUMBER(E19))),"",E19*G19)</f>
        <v/>
      </c>
      <c r="J19" s="22">
        <f>F19+I19</f>
        <v/>
      </c>
      <c r="K19" s="22">
        <f>IF(ISNUMBER(E19),E19-J19,"")</f>
        <v/>
      </c>
    </row>
    <row r="20">
      <c r="A20" s="11" t="n">
        <v>16</v>
      </c>
      <c r="B20" s="11" t="inlineStr">
        <is>
          <t>T-GOT</t>
        </is>
      </c>
      <c r="C20" s="11" t="inlineStr">
        <is>
          <t>Götürü kalemler (elektrik, mekanik, boya, mobilya, tezgah, seramik vb.)</t>
        </is>
      </c>
      <c r="D20" s="11" t="inlineStr">
        <is>
          <t>götürü</t>
        </is>
      </c>
      <c r="E20" s="12" t="n">
        <v>186761.5</v>
      </c>
      <c r="F20" s="22" t="n">
        <v>0</v>
      </c>
      <c r="G20" s="23" t="n"/>
      <c r="H20" s="22" t="n"/>
      <c r="I20" s="22">
        <f>IF(OR(G20="",NOT(ISNUMBER(E20))),"",E20*G20)</f>
        <v/>
      </c>
      <c r="J20" s="22">
        <f>F20+I20</f>
        <v/>
      </c>
      <c r="K20" s="22">
        <f>E20-J20</f>
        <v/>
      </c>
    </row>
    <row r="22">
      <c r="A22" s="15" t="n"/>
      <c r="B22" s="15" t="n"/>
      <c r="C22" s="16" t="inlineStr">
        <is>
          <t>Bu dönem matrah (KDV hariç)</t>
        </is>
      </c>
      <c r="D22" s="15" t="n"/>
      <c r="E22" s="15" t="n"/>
      <c r="F22" s="15" t="n"/>
      <c r="G22" s="15" t="n"/>
      <c r="H22" s="15" t="n"/>
      <c r="I22" s="16">
        <f>SUM(I5:I20)</f>
        <v/>
      </c>
      <c r="J22" s="15" t="n"/>
      <c r="K22" s="15" t="n"/>
    </row>
    <row r="23">
      <c r="C23" t="inlineStr">
        <is>
          <t>KDV (%20)</t>
        </is>
      </c>
      <c r="I23">
        <f>I22*0.20</f>
        <v/>
      </c>
    </row>
    <row r="24">
      <c r="A24" s="19" t="n"/>
      <c r="B24" s="19" t="n"/>
      <c r="C24" s="20" t="inlineStr">
        <is>
          <t>Bu dönem tahsil (matrah + KDV)</t>
        </is>
      </c>
      <c r="D24" s="19" t="n"/>
      <c r="E24" s="19" t="n"/>
      <c r="F24" s="19" t="n"/>
      <c r="G24" s="19" t="n"/>
      <c r="H24" s="19" t="n"/>
      <c r="I24" s="20">
        <f>I22+I23</f>
        <v/>
      </c>
      <c r="J24" s="19" t="n"/>
      <c r="K24" s="19" t="n"/>
    </row>
    <row r="26">
      <c r="A26" t="inlineStr">
        <is>
          <t>İşveren imza / kaşe</t>
        </is>
      </c>
      <c r="F26" t="inlineStr">
        <is>
          <t>Yüklenici imza / kaşe</t>
        </is>
      </c>
    </row>
    <row r="27">
      <c r="A27" t="inlineStr">
        <is>
          <t>Tarih: __________</t>
        </is>
      </c>
      <c r="F27" t="inlineStr">
        <is>
          <t>Tarih: 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4" customWidth="1" min="3" max="3"/>
    <col width="8" customWidth="1" min="4" max="4"/>
    <col width="10" customWidth="1" min="5" max="5"/>
    <col width="12" customWidth="1" min="6" max="6"/>
    <col width="14" customWidth="1" min="7" max="7"/>
    <col width="8" customWidth="1" min="8" max="8"/>
  </cols>
  <sheetData>
    <row r="1">
      <c r="A1" s="5" t="inlineStr">
        <is>
          <t>e-FATURA / e-ARŞİV HAZIRLIK FORMU — VİLLA TADİLAT HAKEDİŞİ</t>
        </is>
      </c>
    </row>
    <row r="3">
      <c r="A3" s="2" t="inlineStr">
        <is>
          <t>Fatura tarihi</t>
        </is>
      </c>
      <c r="B3" t="inlineStr">
        <is>
          <t>____ / ____ / 20__</t>
        </is>
      </c>
    </row>
    <row r="4">
      <c r="A4" s="2" t="inlineStr">
        <is>
          <t>Hakediş dönemi</t>
        </is>
      </c>
      <c r="B4" t="inlineStr">
        <is>
          <t>____ / ____ — ____ / ____</t>
        </is>
      </c>
    </row>
    <row r="5">
      <c r="A5" s="2" t="inlineStr">
        <is>
          <t>Proje</t>
        </is>
      </c>
      <c r="B5" t="inlineStr">
        <is>
          <t>VAN / EDREMİT / ELMALIK VİLLA TADİLATI</t>
        </is>
      </c>
    </row>
    <row r="6">
      <c r="A6" s="2" t="inlineStr">
        <is>
          <t>Alıcı (işveren)</t>
        </is>
      </c>
      <c r="B6" t="inlineStr">
        <is>
          <t>Unvan / VKN / adres — doldurunuz</t>
        </is>
      </c>
    </row>
    <row r="7">
      <c r="A7" s="2" t="inlineStr">
        <is>
          <t>Satıcı (yüklenici)</t>
        </is>
      </c>
      <c r="B7" t="inlineStr">
        <is>
          <t>Unvan / VKN / adres — doldurunuz</t>
        </is>
      </c>
    </row>
    <row r="9">
      <c r="A9" s="6" t="inlineStr">
        <is>
          <t>Sıra</t>
        </is>
      </c>
      <c r="B9" s="6" t="inlineStr">
        <is>
          <t>Poz</t>
        </is>
      </c>
      <c r="C9" s="6" t="inlineStr">
        <is>
          <t>Mal / hizmet açıklaması</t>
        </is>
      </c>
      <c r="D9" s="6" t="inlineStr">
        <is>
          <t>Birim</t>
        </is>
      </c>
      <c r="E9" s="6" t="inlineStr">
        <is>
          <t>Miktar</t>
        </is>
      </c>
      <c r="F9" s="6" t="inlineStr">
        <is>
          <t>Birim fiyat</t>
        </is>
      </c>
      <c r="G9" s="6" t="inlineStr">
        <is>
          <t>Tutar (KDV hariç)</t>
        </is>
      </c>
      <c r="H9" s="6" t="inlineStr">
        <is>
          <t>KDV %</t>
        </is>
      </c>
    </row>
    <row r="10">
      <c r="A10" s="11" t="n">
        <v>3</v>
      </c>
      <c r="B10" s="11" t="inlineStr">
        <is>
          <t>T-03</t>
        </is>
      </c>
      <c r="C10" s="11" t="inlineStr">
        <is>
          <t>Tavan alçıpan — VAN / EDREMİT / ELMALIK VİLLA TADİLATI hakedişi (Mutfak — Z.Hol — G.Odası)</t>
        </is>
      </c>
      <c r="D10" s="11" t="inlineStr">
        <is>
          <t>m²</t>
        </is>
      </c>
      <c r="E10" s="12" t="n">
        <v>43.73</v>
      </c>
      <c r="F10" s="22" t="n">
        <v>750</v>
      </c>
      <c r="G10" s="22" t="n">
        <v>32797.5</v>
      </c>
      <c r="H10" s="14" t="n">
        <v>20</v>
      </c>
    </row>
    <row r="11">
      <c r="A11" s="11" t="n">
        <v>4</v>
      </c>
      <c r="B11" s="11" t="inlineStr">
        <is>
          <t>T-04</t>
        </is>
      </c>
      <c r="C11" s="11" t="inlineStr">
        <is>
          <t>Gergi tavan — VAN / EDREMİT / ELMALIK VİLLA TADİLATI hakedişi (Giyinme odası)</t>
        </is>
      </c>
      <c r="D11" s="11" t="inlineStr">
        <is>
          <t>m²</t>
        </is>
      </c>
      <c r="E11" s="12" t="n">
        <v>5.35</v>
      </c>
      <c r="F11" s="22" t="n">
        <v>2500</v>
      </c>
      <c r="G11" s="22" t="n">
        <v>13375</v>
      </c>
      <c r="H11" s="14" t="n">
        <v>20</v>
      </c>
    </row>
    <row r="12">
      <c r="A12" s="11" t="n">
        <v>5</v>
      </c>
      <c r="B12" s="11" t="inlineStr">
        <is>
          <t>T-05</t>
        </is>
      </c>
      <c r="C12" s="11" t="inlineStr">
        <is>
          <t>Duvar çıtası — VAN / EDREMİT / ELMALIK VİLLA TADİLATI hakedişi (Mutfak, hol, 2. kat hol)</t>
        </is>
      </c>
      <c r="D12" s="11" t="inlineStr">
        <is>
          <t>mt</t>
        </is>
      </c>
      <c r="E12" s="12" t="n">
        <v>103.06</v>
      </c>
      <c r="F12" s="22" t="n">
        <v>650</v>
      </c>
      <c r="G12" s="22" t="n">
        <v>66989</v>
      </c>
      <c r="H12" s="14" t="n">
        <v>20</v>
      </c>
    </row>
    <row r="13">
      <c r="A13" s="11" t="n">
        <v>7</v>
      </c>
      <c r="B13" s="11" t="inlineStr">
        <is>
          <t>T-07</t>
        </is>
      </c>
      <c r="C13" s="11" t="inlineStr">
        <is>
          <t>Duvar kağıdı — VAN / EDREMİT / ELMALIK VİLLA TADİLATI hakedişi (Çalışma odası, yatak odaları (8 rulo))</t>
        </is>
      </c>
      <c r="D13" s="11" t="inlineStr">
        <is>
          <t>m²</t>
        </is>
      </c>
      <c r="E13" s="12" t="n">
        <v>81</v>
      </c>
      <c r="F13" s="22" t="n">
        <v>2500</v>
      </c>
      <c r="G13" s="22" t="n">
        <v>202500</v>
      </c>
      <c r="H13" s="14" t="n">
        <v>20</v>
      </c>
    </row>
    <row r="14">
      <c r="A14" s="11" t="n">
        <v>8</v>
      </c>
      <c r="B14" s="11" t="inlineStr">
        <is>
          <t>T-08</t>
        </is>
      </c>
      <c r="C14" s="11" t="inlineStr">
        <is>
          <t>İtalyan boya (dekoratif) — VAN / EDREMİT / ELMALIK VİLLA TADİLATI hakedişi (Merdiven traverten)</t>
        </is>
      </c>
      <c r="D14" s="11" t="inlineStr">
        <is>
          <t>m²</t>
        </is>
      </c>
      <c r="E14" s="12" t="n">
        <v>46</v>
      </c>
      <c r="F14" s="22" t="n">
        <v>1600</v>
      </c>
      <c r="G14" s="22" t="n">
        <v>73600</v>
      </c>
      <c r="H14" s="14" t="n">
        <v>20</v>
      </c>
    </row>
    <row r="15">
      <c r="A15" s="11" t="n"/>
      <c r="B15" s="11" t="inlineStr">
        <is>
          <t>T-XX</t>
        </is>
      </c>
      <c r="C15" s="11" t="inlineStr">
        <is>
          <t>Elektrik, mekanik, boya, mobilya, tezgah, seramik, süpürgelik, aydınlatma ve diğer götürü kalemler — VAN / EDREMİT / ELMALIK VİLLA TADİLATI (Teklif_1_2328)</t>
        </is>
      </c>
      <c r="D15" s="11" t="inlineStr">
        <is>
          <t>götürü</t>
        </is>
      </c>
      <c r="E15" s="12" t="n"/>
      <c r="F15" s="22" t="n"/>
      <c r="G15" s="22" t="n">
        <v>186761.5</v>
      </c>
      <c r="H15" s="14" t="n">
        <v>20</v>
      </c>
    </row>
    <row r="16">
      <c r="A16" s="19" t="n"/>
      <c r="B16" s="19" t="n"/>
      <c r="C16" s="20" t="inlineStr">
        <is>
          <t>MAL / HİZMET TOPLAM (KDV matrahı)</t>
        </is>
      </c>
      <c r="D16" s="19" t="n"/>
      <c r="E16" s="19" t="n"/>
      <c r="F16" s="19" t="n"/>
      <c r="G16" s="20" t="n">
        <v>576023</v>
      </c>
      <c r="H16" s="19" t="n"/>
    </row>
  </sheetData>
  <mergeCells count="6">
    <mergeCell ref="B4:H4"/>
    <mergeCell ref="B6:H6"/>
    <mergeCell ref="B7:H7"/>
    <mergeCell ref="A1:H1"/>
    <mergeCell ref="B3:H3"/>
    <mergeCell ref="B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5" t="inlineStr">
        <is>
          <t>HAKEDİŞ / FATURA İCMALİ</t>
        </is>
      </c>
    </row>
    <row r="3">
      <c r="A3" s="6" t="inlineStr">
        <is>
          <t>Kalem</t>
        </is>
      </c>
      <c r="B3" s="6" t="inlineStr">
        <is>
          <t>Tutar (TL)</t>
        </is>
      </c>
    </row>
    <row r="4">
      <c r="A4" t="inlineStr">
        <is>
          <t>Proje</t>
        </is>
      </c>
      <c r="B4" t="inlineStr">
        <is>
          <t>VAN / EDREMİT / ELMALIK VİLLA TADİLATI</t>
        </is>
      </c>
    </row>
    <row r="5">
      <c r="A5" t="inlineStr">
        <is>
          <t>Teklif referansı</t>
        </is>
      </c>
      <c r="B5" t="inlineStr">
        <is>
          <t>Teklif_1_2328</t>
        </is>
      </c>
    </row>
    <row r="6">
      <c r="A6" t="inlineStr">
        <is>
          <t>Detaylı kalem matrahı</t>
        </is>
      </c>
      <c r="B6" s="24" t="n">
        <v>389261.5</v>
      </c>
    </row>
    <row r="7">
      <c r="A7" t="inlineStr">
        <is>
          <t>Götürü kalemler payı</t>
        </is>
      </c>
      <c r="B7" s="24" t="n">
        <v>186761.5</v>
      </c>
    </row>
    <row r="8">
      <c r="A8" t="inlineStr">
        <is>
          <t>Sözleşme matrahı (KDV hariç)</t>
        </is>
      </c>
      <c r="B8" s="24" t="n">
        <v>576023</v>
      </c>
    </row>
    <row r="9">
      <c r="A9" t="inlineStr">
        <is>
          <t>Yüklenici kâr / GG (%20)</t>
        </is>
      </c>
      <c r="B9" s="24" t="n">
        <v>115204.6</v>
      </c>
    </row>
    <row r="10">
      <c r="A10" t="inlineStr">
        <is>
          <t>KDV matrahı</t>
        </is>
      </c>
      <c r="B10" s="24" t="n">
        <v>691227.6</v>
      </c>
    </row>
    <row r="11">
      <c r="A11" t="inlineStr">
        <is>
          <t>Hesaplanan KDV (%20)</t>
        </is>
      </c>
      <c r="B11" s="24" t="n">
        <v>138245.52</v>
      </c>
    </row>
    <row r="12">
      <c r="A12" s="25" t="inlineStr">
        <is>
          <t>GENEL TOPLAM (KDV dahil)</t>
        </is>
      </c>
      <c r="B12" s="26" t="n">
        <v>829473.12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2026-10-22T21:07:43Z</dcterms:created>
  <dcterms:modified xsi:type="dcterms:W3CDTF">2026-10-22T21:07:43Z</dcterms:modified>
</cp:coreProperties>
</file>