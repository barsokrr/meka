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HAKEDIS KIRIK 450" sheetId="2" state="visible" r:id="rId2"/>
    <sheet name="HAKEDIS DUZ 750" sheetId="3" state="visible" r:id="rId3"/>
    <sheet name="KIYAS" sheetId="4" state="visible" r:id="rId4"/>
    <sheet name="MALIYET KAR" sheetId="5" state="visible" r:id="rId5"/>
    <sheet name="UYUM CHECKLIST" sheetId="6" state="visible" r:id="rId6"/>
    <sheet name="HAKEDIS DON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sz val="10"/>
    </font>
    <font>
      <name val="Calibri"/>
      <b val="1"/>
      <color rgb="00FFFFFF"/>
      <sz val="9"/>
    </font>
    <font>
      <name val="Calibri"/>
      <i val="1"/>
      <color rgb="00C00000"/>
      <sz val="9"/>
    </font>
    <font>
      <name val="Calibri"/>
      <i val="1"/>
      <sz val="9"/>
    </font>
    <font>
      <name val="Calibri"/>
      <b val="1"/>
      <color rgb="00006600"/>
      <sz val="10"/>
    </font>
    <font>
      <b val="1"/>
      <color rgb="001F4E79"/>
      <sz val="14"/>
    </font>
    <font>
      <b val="1"/>
      <color rgb="00FFFFFF"/>
    </font>
    <font>
      <b val="1"/>
    </font>
    <font>
      <b val="1"/>
      <color rgb="001F4E79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4" fontId="0" fillId="0" borderId="1" pivotButton="0" quotePrefix="0" xfId="0"/>
    <xf numFmtId="0" fontId="3" fillId="4" borderId="1" pivotButton="0" quotePrefix="0" xfId="0"/>
    <xf numFmtId="4" fontId="3" fillId="4" borderId="1" pivotButton="0" quotePrefix="0" xfId="0"/>
    <xf numFmtId="0" fontId="0" fillId="5" borderId="0" pivotButton="0" quotePrefix="0" xfId="0"/>
    <xf numFmtId="0" fontId="3" fillId="5" borderId="1" pivotButton="0" quotePrefix="0" xfId="0"/>
    <xf numFmtId="4" fontId="3" fillId="5" borderId="1" pivotButton="0" quotePrefix="0" xfId="0"/>
    <xf numFmtId="0" fontId="7" fillId="0" borderId="0" pivotButton="0" quotePrefix="0" xfId="0"/>
    <xf numFmtId="0" fontId="3" fillId="6" borderId="1" pivotButton="0" quotePrefix="0" xfId="0"/>
    <xf numFmtId="4" fontId="3" fillId="6" borderId="1" pivotButton="0" quotePrefix="0" xfId="0"/>
    <xf numFmtId="0" fontId="0" fillId="5" borderId="1" pivotButton="0" quotePrefix="0" xfId="0"/>
    <xf numFmtId="0" fontId="8" fillId="0" borderId="0" pivotButton="0" quotePrefix="0" xfId="0"/>
    <xf numFmtId="0" fontId="9" fillId="3" borderId="1" pivotButton="0" quotePrefix="0" xfId="0"/>
    <xf numFmtId="0" fontId="10" fillId="0" borderId="0" pivotButton="0" quotePrefix="0" xfId="0"/>
    <xf numFmtId="4" fontId="0" fillId="0" borderId="0" pivotButton="0" quotePrefix="0" xfId="0"/>
    <xf numFmtId="0" fontId="11" fillId="0" borderId="0" pivotButton="0" quotePrefix="0" xfId="0"/>
    <xf numFmtId="4" fontId="11" fillId="0" borderId="0" pivotButton="0" quotePrefix="0" xfId="0"/>
    <xf numFmtId="0" fontId="12" fillId="0" borderId="0" pivotButton="0" quotePrefix="0" xfId="0"/>
    <xf numFmtId="164" fontId="0" fillId="0" borderId="1" pivotButton="0" quotePrefix="0" xfId="0"/>
    <xf numFmtId="4" fontId="10" fillId="0" borderId="0" pivotButton="0" quotePrefix="0" xfId="0"/>
    <xf numFmtId="0" fontId="10" fillId="0" borderId="1" pivotButton="0" quotePrefix="0" xfId="0"/>
    <xf numFmtId="4" fontId="10" fillId="0" borderId="1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ŞAHIS ŞİRKETİ — TAŞERON KALIP İŞÇİLİĞİ PAKETİ</t>
        </is>
      </c>
    </row>
    <row r="2">
      <c r="A2" s="2" t="inlineStr">
        <is>
          <t>Proje: Karşıyaka Ortaokulu (24 derslik) | Tarih: 2026-08-10</t>
        </is>
      </c>
    </row>
    <row r="4">
      <c r="A4" s="3" t="inlineStr">
        <is>
          <t>OPERASYON MODELİ (SEÇENEK A — TERCİH)</t>
        </is>
      </c>
    </row>
    <row r="5">
      <c r="A5" s="4" t="inlineStr">
        <is>
          <t>Kalem</t>
        </is>
      </c>
      <c r="B5" s="4" t="inlineStr">
        <is>
          <t>Değer</t>
        </is>
      </c>
    </row>
    <row r="6">
      <c r="A6" s="5" t="inlineStr">
        <is>
          <t>Şirket türü</t>
        </is>
      </c>
      <c r="B6" s="6" t="inlineStr">
        <is>
          <t>Şahıs şirketi</t>
        </is>
      </c>
    </row>
    <row r="7">
      <c r="A7" s="5" t="inlineStr">
        <is>
          <t>Ana NACE</t>
        </is>
      </c>
      <c r="B7" s="6" t="inlineStr">
        <is>
          <t>43.99.05 — İnşaatlarda beton işleri (kalıp)</t>
        </is>
      </c>
    </row>
    <row r="8">
      <c r="A8" s="5" t="inlineStr">
        <is>
          <t>Yan NACE</t>
        </is>
      </c>
      <c r="B8" s="6" t="inlineStr">
        <is>
          <t>43.99.13 demir | 43.99.07 iskele</t>
        </is>
      </c>
    </row>
    <row r="9">
      <c r="A9" s="5" t="inlineStr">
        <is>
          <t>Tehlike sınıfı</t>
        </is>
      </c>
      <c r="B9" s="6" t="inlineStr">
        <is>
          <t>Çok Tehlikeli</t>
        </is>
      </c>
    </row>
    <row r="10">
      <c r="A10" s="5" t="inlineStr">
        <is>
          <t>Çalışma modeli</t>
        </is>
      </c>
      <c r="B10" s="6" t="inlineStr">
        <is>
          <t>İşçiler şahıs şirketi SGK’sında; müteahhit dosyasında Aracı No</t>
        </is>
      </c>
    </row>
    <row r="11">
      <c r="A11" t="inlineStr">
        <is>
          <t>Ekip</t>
        </is>
      </c>
      <c r="B11" t="inlineStr">
        <is>
          <t>2 usta + 3 çırak + 1 mühendis + şirket sahibi</t>
        </is>
      </c>
    </row>
    <row r="12">
      <c r="A12" s="5" t="inlineStr">
        <is>
          <t>Fatura</t>
        </is>
      </c>
      <c r="B12" s="6" t="inlineStr">
        <is>
          <t>İşçilik + sigorta yansıtması dahil tam hakediş faturası</t>
        </is>
      </c>
    </row>
    <row r="13">
      <c r="A13" s="5" t="inlineStr">
        <is>
          <t>KDV</t>
        </is>
      </c>
      <c r="B13" s="6" t="inlineStr">
        <is>
          <t>Yapım işi — %20 KDV, 4/10 tevkifat</t>
        </is>
      </c>
    </row>
    <row r="14">
      <c r="A14" s="5" t="inlineStr">
        <is>
          <t>YASAK</t>
        </is>
      </c>
      <c r="B14" s="6" t="inlineStr">
        <is>
          <t>Müteahhitte sigortalı işçi + şahıs şirketine fatura (muvazaa) YOK</t>
        </is>
      </c>
    </row>
    <row r="17">
      <c r="A17" s="3" t="inlineStr">
        <is>
          <t>DOSYA İÇERİĞİ</t>
        </is>
      </c>
    </row>
    <row r="18">
      <c r="A18" t="inlineStr">
        <is>
          <t>1) KAPAK — model ve NACE özeti</t>
        </is>
      </c>
    </row>
    <row r="19">
      <c r="A19" t="inlineStr">
        <is>
          <t>2) HAKEDİŞ KIRIK 450 — tevkifatlı taşeron hakediş</t>
        </is>
      </c>
    </row>
    <row r="20">
      <c r="A20" t="inlineStr">
        <is>
          <t>3) HAKEDİŞ DUZ 750 — tevkifatlı alternatif</t>
        </is>
      </c>
    </row>
    <row r="21">
      <c r="A21" t="inlineStr">
        <is>
          <t>4) KIYAS — iki yöntem karşılaştırma</t>
        </is>
      </c>
    </row>
    <row r="22">
      <c r="A22" t="inlineStr">
        <is>
          <t>5) MALIYET KAR — şahıs şirketi gider/kâr/vergi simülasyonu</t>
        </is>
      </c>
    </row>
    <row r="23">
      <c r="A23" t="inlineStr">
        <is>
          <t>6) UYUM CHECKLIST — SGK/İSG/vergi kontrol listesi</t>
        </is>
      </c>
    </row>
    <row r="24">
      <c r="A24" t="inlineStr">
        <is>
          <t>6b) HAKEDIS DONEM — dönemsel hakediş şablonu (formül tevkifatlı)</t>
        </is>
      </c>
    </row>
    <row r="25">
      <c r="A25" t="inlineStr">
        <is>
          <t>7) sozlesme_taslagi.md — taşeronluk sözleşmesi taslağı (Seçenek A)</t>
        </is>
      </c>
    </row>
    <row r="26">
      <c r="A26" t="inlineStr">
        <is>
          <t>8) SONRAKI_ADIMLAR.md — kurulum / sözleşme / saha / vergi yol haritası</t>
        </is>
      </c>
    </row>
    <row r="28">
      <c r="A28" s="7" t="inlineStr">
        <is>
          <t>UYARI: Bu paket taslak/şablon niteliğindedir; avukat-mali müşavir-İSG uzmanı kontrolü olmadan imzalanmamalıdır.</t>
        </is>
      </c>
    </row>
  </sheetData>
  <mergeCells count="2">
    <mergeCell ref="A1:D1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8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TAŞERON HAKEDİŞ CETVELİ — HAKEDIS KIRIK 450</t>
        </is>
      </c>
    </row>
    <row r="2">
      <c r="A2" s="8" t="inlineStr">
        <is>
          <t>Seçenek A | Birim 450 TL/m² | KDV %20 | Tevkifat 4/10 | Malzeme hariç işçilik+sigorta dahil fatura modeli</t>
        </is>
      </c>
    </row>
    <row r="4">
      <c r="A4" s="3" t="inlineStr">
        <is>
          <t>A) İMALAT CETVELİ</t>
        </is>
      </c>
    </row>
    <row r="5">
      <c r="A5" s="4" t="inlineStr">
        <is>
          <t>Sıra</t>
        </is>
      </c>
      <c r="B5" s="4" t="inlineStr">
        <is>
          <t>Poz</t>
        </is>
      </c>
      <c r="C5" s="4" t="inlineStr">
        <is>
          <t>Tarifi</t>
        </is>
      </c>
      <c r="D5" s="4" t="inlineStr">
        <is>
          <t>Birim</t>
        </is>
      </c>
      <c r="E5" s="4" t="inlineStr">
        <is>
          <t>Miktar</t>
        </is>
      </c>
      <c r="F5" s="4" t="inlineStr">
        <is>
          <t>BF TL</t>
        </is>
      </c>
      <c r="G5" s="4" t="inlineStr">
        <is>
          <t>Tutar TL</t>
        </is>
      </c>
    </row>
    <row r="6">
      <c r="A6" s="6" t="n">
        <v>1</v>
      </c>
      <c r="B6" s="6" t="inlineStr">
        <is>
          <t>K-01</t>
        </is>
      </c>
      <c r="C6" s="6" t="inlineStr">
        <is>
          <t>Radye temel yan kalıbı</t>
        </is>
      </c>
      <c r="D6" s="6" t="inlineStr">
        <is>
          <t>m²</t>
        </is>
      </c>
      <c r="E6" s="9" t="n">
        <v>120.4</v>
      </c>
      <c r="F6" s="9" t="n">
        <v>450</v>
      </c>
      <c r="G6" s="9" t="n">
        <v>54180</v>
      </c>
    </row>
    <row r="7">
      <c r="A7" s="6" t="n">
        <v>2</v>
      </c>
      <c r="B7" s="6" t="inlineStr">
        <is>
          <t>K-02</t>
        </is>
      </c>
      <c r="C7" s="6" t="inlineStr">
        <is>
          <t>Bodrum perde kalıbı (çift yüz)</t>
        </is>
      </c>
      <c r="D7" s="6" t="inlineStr">
        <is>
          <t>m²</t>
        </is>
      </c>
      <c r="E7" s="9" t="n">
        <v>1152.7</v>
      </c>
      <c r="F7" s="9" t="n">
        <v>450</v>
      </c>
      <c r="G7" s="9" t="n">
        <v>518715</v>
      </c>
    </row>
    <row r="8">
      <c r="A8" s="6" t="n">
        <v>3</v>
      </c>
      <c r="B8" s="6" t="inlineStr">
        <is>
          <t>K-03</t>
        </is>
      </c>
      <c r="C8" s="6" t="inlineStr">
        <is>
          <t>Bodrum kolon kalıbı</t>
        </is>
      </c>
      <c r="D8" s="6" t="inlineStr">
        <is>
          <t>m²</t>
        </is>
      </c>
      <c r="E8" s="9" t="n">
        <v>184</v>
      </c>
      <c r="F8" s="9" t="n">
        <v>450</v>
      </c>
      <c r="G8" s="9" t="n">
        <v>82800</v>
      </c>
    </row>
    <row r="9">
      <c r="A9" s="6" t="n">
        <v>4</v>
      </c>
      <c r="B9" s="6" t="inlineStr">
        <is>
          <t>K-04</t>
        </is>
      </c>
      <c r="C9" s="6" t="inlineStr">
        <is>
          <t>Üst kat perde kalıbı</t>
        </is>
      </c>
      <c r="D9" s="6" t="inlineStr">
        <is>
          <t>m²</t>
        </is>
      </c>
      <c r="E9" s="9" t="n">
        <v>3468.8</v>
      </c>
      <c r="F9" s="9" t="n">
        <v>450</v>
      </c>
      <c r="G9" s="9" t="n">
        <v>1560960</v>
      </c>
    </row>
    <row r="10">
      <c r="A10" s="6" t="n">
        <v>5</v>
      </c>
      <c r="B10" s="6" t="inlineStr">
        <is>
          <t>K-05</t>
        </is>
      </c>
      <c r="C10" s="6" t="inlineStr">
        <is>
          <t>Üst kat kolon kalıbı</t>
        </is>
      </c>
      <c r="D10" s="6" t="inlineStr">
        <is>
          <t>m²</t>
        </is>
      </c>
      <c r="E10" s="9" t="n">
        <v>699.2</v>
      </c>
      <c r="F10" s="9" t="n">
        <v>450</v>
      </c>
      <c r="G10" s="9" t="n">
        <v>314640</v>
      </c>
    </row>
    <row r="11">
      <c r="A11" s="6" t="n">
        <v>6</v>
      </c>
      <c r="B11" s="6" t="inlineStr">
        <is>
          <t>K-06</t>
        </is>
      </c>
      <c r="C11" s="6" t="inlineStr">
        <is>
          <t>Döşeme alt kalıbı</t>
        </is>
      </c>
      <c r="D11" s="6" t="inlineStr">
        <is>
          <t>m²</t>
        </is>
      </c>
      <c r="E11" s="9" t="n">
        <v>4706.5</v>
      </c>
      <c r="F11" s="9" t="n">
        <v>450</v>
      </c>
      <c r="G11" s="9" t="n">
        <v>2117925</v>
      </c>
    </row>
    <row r="12">
      <c r="A12" s="6" t="n">
        <v>7</v>
      </c>
      <c r="B12" s="6" t="inlineStr">
        <is>
          <t>K-07</t>
        </is>
      </c>
      <c r="C12" s="6" t="inlineStr">
        <is>
          <t>Kiriş kalıbı yan+alt</t>
        </is>
      </c>
      <c r="D12" s="6" t="inlineStr">
        <is>
          <t>m²</t>
        </is>
      </c>
      <c r="E12" s="9" t="n">
        <v>1441.8</v>
      </c>
      <c r="F12" s="9" t="n">
        <v>450</v>
      </c>
      <c r="G12" s="9" t="n">
        <v>648810</v>
      </c>
    </row>
    <row r="13">
      <c r="A13" s="10" t="n"/>
      <c r="B13" s="10" t="n"/>
      <c r="C13" s="10" t="inlineStr">
        <is>
          <t>İMALAT MATRAHI (KDV hariç)</t>
        </is>
      </c>
      <c r="D13" s="10" t="n"/>
      <c r="E13" s="11" t="n">
        <v>11773.4</v>
      </c>
      <c r="F13" s="10" t="n"/>
      <c r="G13" s="11" t="n">
        <v>5298030</v>
      </c>
    </row>
    <row r="15">
      <c r="A15" s="3" t="inlineStr">
        <is>
          <t>B) KDV / TEVKİFAT KIRILIMI (4/10)</t>
        </is>
      </c>
    </row>
    <row r="16">
      <c r="A16" s="4" t="inlineStr">
        <is>
          <t>Kalem</t>
        </is>
      </c>
      <c r="B16" s="4" t="inlineStr">
        <is>
          <t>Oran/Açıklama</t>
        </is>
      </c>
      <c r="C16" s="4" t="inlineStr">
        <is>
          <t>Tutar TL</t>
        </is>
      </c>
    </row>
    <row r="17">
      <c r="A17" s="6" t="inlineStr">
        <is>
          <t>Hakediş matrahı</t>
        </is>
      </c>
      <c r="B17" s="6" t="inlineStr">
        <is>
          <t>KDV hariç bedel</t>
        </is>
      </c>
      <c r="C17" s="9" t="n">
        <v>5298030</v>
      </c>
    </row>
    <row r="18">
      <c r="A18" s="6" t="inlineStr">
        <is>
          <t>Hesaplanan KDV</t>
        </is>
      </c>
      <c r="B18" s="6" t="inlineStr">
        <is>
          <t>%20</t>
        </is>
      </c>
      <c r="C18" s="9" t="n">
        <v>1059606</v>
      </c>
    </row>
    <row r="19">
      <c r="A19" s="6" t="inlineStr">
        <is>
          <t>KDV tevkifatı (müteahhit beyan/öder)</t>
        </is>
      </c>
      <c r="B19" s="6" t="inlineStr">
        <is>
          <t>4/10 × KDV</t>
        </is>
      </c>
      <c r="C19" s="9" t="n">
        <v>423842.4</v>
      </c>
    </row>
    <row r="20">
      <c r="A20" s="6" t="inlineStr">
        <is>
          <t>Taşeronun tahsil edeceği KDV</t>
        </is>
      </c>
      <c r="B20" s="6" t="inlineStr">
        <is>
          <t>6/10 × KDV</t>
        </is>
      </c>
      <c r="C20" s="9" t="n">
        <v>635763.6</v>
      </c>
    </row>
    <row r="21">
      <c r="A21" s="10" t="inlineStr">
        <is>
          <t>FATURA TAHSİL TUTARI</t>
        </is>
      </c>
      <c r="B21" s="10" t="inlineStr">
        <is>
          <t>Matrah + 6/10 KDV</t>
        </is>
      </c>
      <c r="C21" s="11" t="n">
        <v>5933793.6</v>
      </c>
    </row>
    <row r="24">
      <c r="A24" s="3" t="inlineStr">
        <is>
          <t>C) FATURA ÖRNEK SATIRLARI</t>
        </is>
      </c>
    </row>
    <row r="25">
      <c r="A25" s="12" t="inlineStr">
        <is>
          <t>Fatura açıklaması örneği: "Karşıyaka Ortaokulu kalıp işçiliği hakedişi — 11773.40 m² × 450 TL/m². İşçilik ve işçi SGK primleri dahil. Malzeme hariç. KDV tevkifatı 4/10."</t>
        </is>
      </c>
    </row>
    <row r="26">
      <c r="A26" s="12" t="inlineStr">
        <is>
          <t>NACE: 43.99.05 | Tevkifat kodu: yapım işleri 4/10 (güncel tebliğe göre fatura üzerinde belirtilir).</t>
        </is>
      </c>
    </row>
    <row r="27">
      <c r="A27" s="12" t="inlineStr">
        <is>
          <t>Aracı (taşeron) SGK dosya numarası faturada/hakedişte yazılmalıdır.</t>
        </is>
      </c>
    </row>
  </sheetData>
  <mergeCells count="4">
    <mergeCell ref="A27:G27"/>
    <mergeCell ref="A26:G26"/>
    <mergeCell ref="A1:G1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8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TAŞERON HAKEDİŞ CETVELİ — HAKEDIS DUZ 750</t>
        </is>
      </c>
    </row>
    <row r="2">
      <c r="A2" s="8" t="inlineStr">
        <is>
          <t>Seçenek A | Birim 750 TL/m² | KDV %20 | Tevkifat 4/10 | Malzeme hariç işçilik+sigorta dahil fatura modeli</t>
        </is>
      </c>
    </row>
    <row r="4">
      <c r="A4" s="3" t="inlineStr">
        <is>
          <t>A) İMALAT CETVELİ</t>
        </is>
      </c>
    </row>
    <row r="5">
      <c r="A5" s="4" t="inlineStr">
        <is>
          <t>Sıra</t>
        </is>
      </c>
      <c r="B5" s="4" t="inlineStr">
        <is>
          <t>Poz</t>
        </is>
      </c>
      <c r="C5" s="4" t="inlineStr">
        <is>
          <t>Tarifi</t>
        </is>
      </c>
      <c r="D5" s="4" t="inlineStr">
        <is>
          <t>Birim</t>
        </is>
      </c>
      <c r="E5" s="4" t="inlineStr">
        <is>
          <t>Miktar</t>
        </is>
      </c>
      <c r="F5" s="4" t="inlineStr">
        <is>
          <t>BF TL</t>
        </is>
      </c>
      <c r="G5" s="4" t="inlineStr">
        <is>
          <t>Tutar TL</t>
        </is>
      </c>
    </row>
    <row r="6">
      <c r="A6" s="6" t="n">
        <v>1</v>
      </c>
      <c r="B6" s="6" t="inlineStr">
        <is>
          <t>D-01</t>
        </is>
      </c>
      <c r="C6" s="6" t="inlineStr">
        <is>
          <t>Radye yan kalıp</t>
        </is>
      </c>
      <c r="D6" s="6" t="inlineStr">
        <is>
          <t>m²</t>
        </is>
      </c>
      <c r="E6" s="9" t="n">
        <v>120.4</v>
      </c>
      <c r="F6" s="9" t="n">
        <v>750</v>
      </c>
      <c r="G6" s="9" t="n">
        <v>90300</v>
      </c>
    </row>
    <row r="7">
      <c r="A7" s="6" t="n">
        <v>2</v>
      </c>
      <c r="B7" s="6" t="inlineStr">
        <is>
          <t>D-02</t>
        </is>
      </c>
      <c r="C7" s="6" t="inlineStr">
        <is>
          <t>Bodrum perde kalıp</t>
        </is>
      </c>
      <c r="D7" s="6" t="inlineStr">
        <is>
          <t>m²</t>
        </is>
      </c>
      <c r="E7" s="9" t="n">
        <v>1051.2</v>
      </c>
      <c r="F7" s="9" t="n">
        <v>750</v>
      </c>
      <c r="G7" s="9" t="n">
        <v>788400</v>
      </c>
    </row>
    <row r="8">
      <c r="A8" s="6" t="n">
        <v>3</v>
      </c>
      <c r="B8" s="6" t="inlineStr">
        <is>
          <t>D-03</t>
        </is>
      </c>
      <c r="C8" s="6" t="inlineStr">
        <is>
          <t>Bodrum kolon kalıp</t>
        </is>
      </c>
      <c r="D8" s="6" t="inlineStr">
        <is>
          <t>m²</t>
        </is>
      </c>
      <c r="E8" s="9" t="n">
        <v>183.8</v>
      </c>
      <c r="F8" s="9" t="n">
        <v>750</v>
      </c>
      <c r="G8" s="9" t="n">
        <v>137850</v>
      </c>
    </row>
    <row r="9">
      <c r="A9" s="6" t="n">
        <v>4</v>
      </c>
      <c r="B9" s="6" t="inlineStr">
        <is>
          <t>D-04</t>
        </is>
      </c>
      <c r="C9" s="6" t="inlineStr">
        <is>
          <t>Üst perde kalıp</t>
        </is>
      </c>
      <c r="D9" s="6" t="inlineStr">
        <is>
          <t>m²</t>
        </is>
      </c>
      <c r="E9" s="9" t="n">
        <v>3083</v>
      </c>
      <c r="F9" s="9" t="n">
        <v>750</v>
      </c>
      <c r="G9" s="9" t="n">
        <v>2312250</v>
      </c>
    </row>
    <row r="10">
      <c r="A10" s="6" t="n">
        <v>5</v>
      </c>
      <c r="B10" s="6" t="inlineStr">
        <is>
          <t>D-05</t>
        </is>
      </c>
      <c r="C10" s="6" t="inlineStr">
        <is>
          <t>Üst kolon kalıp</t>
        </is>
      </c>
      <c r="D10" s="6" t="inlineStr">
        <is>
          <t>m²</t>
        </is>
      </c>
      <c r="E10" s="9" t="n">
        <v>698.6</v>
      </c>
      <c r="F10" s="9" t="n">
        <v>750</v>
      </c>
      <c r="G10" s="9" t="n">
        <v>523950</v>
      </c>
    </row>
    <row r="11">
      <c r="A11" s="6" t="n">
        <v>6</v>
      </c>
      <c r="B11" s="6" t="inlineStr">
        <is>
          <t>D-06</t>
        </is>
      </c>
      <c r="C11" s="6" t="inlineStr">
        <is>
          <t>Döşeme alt kalıp</t>
        </is>
      </c>
      <c r="D11" s="6" t="inlineStr">
        <is>
          <t>m²</t>
        </is>
      </c>
      <c r="E11" s="9" t="n">
        <v>4716.9</v>
      </c>
      <c r="F11" s="9" t="n">
        <v>750</v>
      </c>
      <c r="G11" s="9" t="n">
        <v>3537675</v>
      </c>
    </row>
    <row r="12">
      <c r="A12" s="6" t="n">
        <v>7</v>
      </c>
      <c r="B12" s="6" t="inlineStr">
        <is>
          <t>D-07</t>
        </is>
      </c>
      <c r="C12" s="6" t="inlineStr">
        <is>
          <t>Kiriş kalıp</t>
        </is>
      </c>
      <c r="D12" s="6" t="inlineStr">
        <is>
          <t>m²</t>
        </is>
      </c>
      <c r="E12" s="9" t="n">
        <v>1441.8</v>
      </c>
      <c r="F12" s="9" t="n">
        <v>750</v>
      </c>
      <c r="G12" s="9" t="n">
        <v>1081350</v>
      </c>
    </row>
    <row r="13">
      <c r="A13" s="13" t="n"/>
      <c r="B13" s="13" t="n"/>
      <c r="C13" s="13" t="inlineStr">
        <is>
          <t>İMALAT MATRAHI (KDV hariç)</t>
        </is>
      </c>
      <c r="D13" s="13" t="n"/>
      <c r="E13" s="14" t="n">
        <v>11295.7</v>
      </c>
      <c r="F13" s="13" t="n"/>
      <c r="G13" s="14" t="n">
        <v>8471775</v>
      </c>
    </row>
    <row r="15">
      <c r="A15" s="3" t="inlineStr">
        <is>
          <t>B) KDV / TEVKİFAT KIRILIMI (4/10)</t>
        </is>
      </c>
    </row>
    <row r="16">
      <c r="A16" s="4" t="inlineStr">
        <is>
          <t>Kalem</t>
        </is>
      </c>
      <c r="B16" s="4" t="inlineStr">
        <is>
          <t>Oran/Açıklama</t>
        </is>
      </c>
      <c r="C16" s="4" t="inlineStr">
        <is>
          <t>Tutar TL</t>
        </is>
      </c>
    </row>
    <row r="17">
      <c r="A17" s="6" t="inlineStr">
        <is>
          <t>Hakediş matrahı</t>
        </is>
      </c>
      <c r="B17" s="6" t="inlineStr">
        <is>
          <t>KDV hariç bedel</t>
        </is>
      </c>
      <c r="C17" s="9" t="n">
        <v>8471775</v>
      </c>
    </row>
    <row r="18">
      <c r="A18" s="6" t="inlineStr">
        <is>
          <t>Hesaplanan KDV</t>
        </is>
      </c>
      <c r="B18" s="6" t="inlineStr">
        <is>
          <t>%20</t>
        </is>
      </c>
      <c r="C18" s="9" t="n">
        <v>1694355</v>
      </c>
    </row>
    <row r="19">
      <c r="A19" s="6" t="inlineStr">
        <is>
          <t>KDV tevkifatı (müteahhit beyan/öder)</t>
        </is>
      </c>
      <c r="B19" s="6" t="inlineStr">
        <is>
          <t>4/10 × KDV</t>
        </is>
      </c>
      <c r="C19" s="9" t="n">
        <v>677742</v>
      </c>
    </row>
    <row r="20">
      <c r="A20" s="6" t="inlineStr">
        <is>
          <t>Taşeronun tahsil edeceği KDV</t>
        </is>
      </c>
      <c r="B20" s="6" t="inlineStr">
        <is>
          <t>6/10 × KDV</t>
        </is>
      </c>
      <c r="C20" s="9" t="n">
        <v>1016613</v>
      </c>
    </row>
    <row r="21">
      <c r="A21" s="10" t="inlineStr">
        <is>
          <t>FATURA TAHSİL TUTARI</t>
        </is>
      </c>
      <c r="B21" s="10" t="inlineStr">
        <is>
          <t>Matrah + 6/10 KDV</t>
        </is>
      </c>
      <c r="C21" s="11" t="n">
        <v>9488388</v>
      </c>
    </row>
    <row r="24">
      <c r="A24" s="3" t="inlineStr">
        <is>
          <t>C) FATURA ÖRNEK SATIRLARI</t>
        </is>
      </c>
    </row>
    <row r="25">
      <c r="A25" s="12" t="inlineStr">
        <is>
          <t>Fatura açıklaması örneği: "Karşıyaka Ortaokulu kalıp işçiliği hakedişi — 11295.70 m² × 750 TL/m². İşçilik ve işçi SGK primleri dahil. Malzeme hariç. KDV tevkifatı 4/10."</t>
        </is>
      </c>
    </row>
    <row r="26">
      <c r="A26" s="12" t="inlineStr">
        <is>
          <t>NACE: 43.99.05 | Tevkifat kodu: yapım işleri 4/10 (güncel tebliğe göre fatura üzerinde belirtilir).</t>
        </is>
      </c>
    </row>
    <row r="27">
      <c r="A27" s="12" t="inlineStr">
        <is>
          <t>Aracı (taşeron) SGK dosya numarası faturada/hakedişte yazılmalıdır.</t>
        </is>
      </c>
    </row>
  </sheetData>
  <mergeCells count="4">
    <mergeCell ref="A27:G27"/>
    <mergeCell ref="A26:G26"/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TAŞERON HAKEDİŞ KIYASI (TEVKİFATLI)</t>
        </is>
      </c>
    </row>
    <row r="3">
      <c r="A3" s="4" t="inlineStr">
        <is>
          <t>Kalem</t>
        </is>
      </c>
      <c r="B3" s="4" t="inlineStr">
        <is>
          <t>Kırık 450</t>
        </is>
      </c>
      <c r="C3" s="4" t="inlineStr">
        <is>
          <t>Düz 750</t>
        </is>
      </c>
      <c r="D3" s="4" t="inlineStr">
        <is>
          <t>Fark</t>
        </is>
      </c>
    </row>
    <row r="4">
      <c r="A4" s="6" t="inlineStr">
        <is>
          <t>Metraj m²</t>
        </is>
      </c>
      <c r="B4" s="9" t="n">
        <v>11773.4</v>
      </c>
      <c r="C4" s="9" t="n">
        <v>11295.7</v>
      </c>
      <c r="D4" s="9" t="n">
        <v>-477.7</v>
      </c>
    </row>
    <row r="5">
      <c r="A5" s="6" t="inlineStr">
        <is>
          <t>Birim fiyat</t>
        </is>
      </c>
      <c r="B5" s="9" t="n">
        <v>450</v>
      </c>
      <c r="C5" s="9" t="n">
        <v>750</v>
      </c>
      <c r="D5" s="9" t="n">
        <v>300</v>
      </c>
    </row>
    <row r="6">
      <c r="A6" s="6" t="inlineStr">
        <is>
          <t>Matrah (KDV hariç)</t>
        </is>
      </c>
      <c r="B6" s="9" t="n">
        <v>5298030</v>
      </c>
      <c r="C6" s="9" t="n">
        <v>8471775</v>
      </c>
      <c r="D6" s="9" t="n">
        <v>3173745</v>
      </c>
    </row>
    <row r="7">
      <c r="A7" s="6" t="inlineStr">
        <is>
          <t>Hesaplanan KDV %20</t>
        </is>
      </c>
      <c r="B7" s="9" t="n">
        <v>1059606</v>
      </c>
      <c r="C7" s="9" t="n">
        <v>1694355</v>
      </c>
      <c r="D7" s="9" t="n">
        <v>634749</v>
      </c>
    </row>
    <row r="8">
      <c r="A8" s="6" t="inlineStr">
        <is>
          <t>Tevkifat 4/10 (müteahhit)</t>
        </is>
      </c>
      <c r="B8" s="9" t="n">
        <v>423842.4</v>
      </c>
      <c r="C8" s="9" t="n">
        <v>677742</v>
      </c>
      <c r="D8" s="9" t="n">
        <v>253899.6</v>
      </c>
    </row>
    <row r="9">
      <c r="A9" s="6" t="inlineStr">
        <is>
          <t>Taşeron tahsil KDV 6/10</t>
        </is>
      </c>
      <c r="B9" s="9" t="n">
        <v>635763.6</v>
      </c>
      <c r="C9" s="9" t="n">
        <v>1016613</v>
      </c>
      <c r="D9" s="9" t="n">
        <v>380849.4</v>
      </c>
    </row>
    <row r="10">
      <c r="A10" s="10" t="inlineStr">
        <is>
          <t>Fatura tahsil tutarı</t>
        </is>
      </c>
      <c r="B10" s="11" t="n">
        <v>5933793.6</v>
      </c>
      <c r="C10" s="11" t="n">
        <v>9488388</v>
      </c>
      <c r="D10" s="11" t="n">
        <v>3554594.4</v>
      </c>
    </row>
    <row r="13">
      <c r="A13" s="15" t="inlineStr">
        <is>
          <t>Tercih edilen sözleşme yöntemi: KIRIK ÖLÇÜ × 450 TL/m² (Seçenek A, tevkifatlı fatura).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22" customWidth="1" min="4" max="4"/>
    <col width="18" customWidth="1" min="5" max="5"/>
    <col width="12" customWidth="1" min="6" max="6"/>
    <col width="18" customWidth="1" min="7" max="7"/>
    <col width="48" customWidth="1" min="8" max="8"/>
  </cols>
  <sheetData>
    <row r="1">
      <c r="A1" s="19" t="inlineStr">
        <is>
          <t>ŞAHIS ŞİRKETİ — MALİYET / KÂR / VERGİ SİMÜLASYONU</t>
        </is>
      </c>
    </row>
    <row r="2">
      <c r="A2" t="inlineStr">
        <is>
          <t>Ekip: 2 usta + 3 çırak + 1 mühendis + şirket sahibi | Ana senaryo: Kırık 450 tevkifatlı | Varsayımlar düzenlenebilir — MM teyidi şart</t>
        </is>
      </c>
    </row>
    <row r="4">
      <c r="A4" s="25" t="inlineStr">
        <is>
          <t>A) EKİP YAPISI VE ÜCRET VARSAYIMLARI (DÜZENLENEBİLİR)</t>
        </is>
      </c>
    </row>
    <row r="5">
      <c r="A5" s="20" t="inlineStr">
        <is>
          <t>Rol</t>
        </is>
      </c>
      <c r="B5" s="20" t="inlineStr">
        <is>
          <t>Adet</t>
        </is>
      </c>
      <c r="C5" s="20" t="inlineStr">
        <is>
          <t>SGK statü</t>
        </is>
      </c>
      <c r="D5" s="20" t="inlineStr">
        <is>
          <t>Brüt ücret / ay (TL)</t>
        </is>
      </c>
      <c r="E5" s="20" t="inlineStr">
        <is>
          <t>Aylık brüt toplam</t>
        </is>
      </c>
      <c r="F5" s="20" t="inlineStr">
        <is>
          <t>Süre (ay)</t>
        </is>
      </c>
      <c r="G5" s="20" t="inlineStr">
        <is>
          <t>Dönem brüt toplam</t>
        </is>
      </c>
      <c r="H5" s="20" t="inlineStr">
        <is>
          <t>Not</t>
        </is>
      </c>
    </row>
    <row r="6">
      <c r="A6" s="6" t="inlineStr">
        <is>
          <t>Usta (kalıp)</t>
        </is>
      </c>
      <c r="B6" s="6" t="n">
        <v>2</v>
      </c>
      <c r="C6" s="6" t="inlineStr">
        <is>
          <t>4A — şahıs şirketi</t>
        </is>
      </c>
      <c r="D6" s="9" t="n">
        <v>55000</v>
      </c>
      <c r="E6" s="9">
        <f>B6*D6</f>
        <v/>
      </c>
      <c r="F6" s="6" t="n">
        <v>6</v>
      </c>
      <c r="G6" s="9">
        <f>E6*F6</f>
        <v/>
      </c>
      <c r="H6" s="6" t="inlineStr">
        <is>
          <t>Tecrübeli kalıp ustası</t>
        </is>
      </c>
    </row>
    <row r="7">
      <c r="A7" s="6" t="inlineStr">
        <is>
          <t>Çırak / yardımcı</t>
        </is>
      </c>
      <c r="B7" s="6" t="n">
        <v>3</v>
      </c>
      <c r="C7" s="6" t="inlineStr">
        <is>
          <t>4A — şahıs şirketi</t>
        </is>
      </c>
      <c r="D7" s="9" t="n">
        <v>28000</v>
      </c>
      <c r="E7" s="9">
        <f>B7*D7</f>
        <v/>
      </c>
      <c r="F7" s="6" t="n">
        <v>6</v>
      </c>
      <c r="G7" s="9">
        <f>E7*F7</f>
        <v/>
      </c>
      <c r="H7" s="6" t="inlineStr">
        <is>
          <t>Asgari+ kabaca; çıraklık sözleşmesi ayrı değerlendirilebilir</t>
        </is>
      </c>
    </row>
    <row r="8">
      <c r="A8" s="6" t="inlineStr">
        <is>
          <t>Şantiye mühendisi</t>
        </is>
      </c>
      <c r="B8" s="6" t="n">
        <v>1</v>
      </c>
      <c r="C8" s="6" t="inlineStr">
        <is>
          <t>4A — şahıs şirketi</t>
        </is>
      </c>
      <c r="D8" s="9" t="n">
        <v>65000</v>
      </c>
      <c r="E8" s="9">
        <f>B8*D8</f>
        <v/>
      </c>
      <c r="F8" s="6" t="n">
        <v>6</v>
      </c>
      <c r="G8" s="9">
        <f>E8*F8</f>
        <v/>
      </c>
      <c r="H8" s="6" t="inlineStr">
        <is>
          <t>Metraj, kalite, İSG koordinasyon desteği</t>
        </is>
      </c>
    </row>
    <row r="9">
      <c r="A9" s="6" t="inlineStr">
        <is>
          <t>Şirket sahibi</t>
        </is>
      </c>
      <c r="B9" s="6" t="n">
        <v>1</v>
      </c>
      <c r="C9" s="6" t="inlineStr">
        <is>
          <t>4B Bağ-Kur (ücret değil)</t>
        </is>
      </c>
      <c r="D9" s="9" t="n">
        <v>0</v>
      </c>
      <c r="E9" s="9">
        <f>B9*D9</f>
        <v/>
      </c>
      <c r="F9" s="6" t="n">
        <v>6</v>
      </c>
      <c r="G9" s="9" t="n">
        <v>0</v>
      </c>
      <c r="H9" s="6" t="inlineStr">
        <is>
          <t>Maaş yazılmaz; geçim kârdan çekilir + Bağ-Kur prim</t>
        </is>
      </c>
    </row>
    <row r="10">
      <c r="A10" s="21" t="inlineStr">
        <is>
          <t>4A personel toplamı (adet)</t>
        </is>
      </c>
      <c r="B10">
        <f>B6+B7+B8</f>
        <v/>
      </c>
    </row>
    <row r="11">
      <c r="A11" s="21" t="inlineStr">
        <is>
          <t>Aylık 4A brüt ücret toplamı</t>
        </is>
      </c>
      <c r="B11" s="22">
        <f>E6+E7+E8</f>
        <v/>
      </c>
    </row>
    <row r="12">
      <c r="A12" s="21" t="inlineStr">
        <is>
          <t>Dönem 4A brüt ücret toplamı</t>
        </is>
      </c>
      <c r="B12" s="22">
        <f>G6+G7+G8</f>
        <v/>
      </c>
    </row>
    <row r="14">
      <c r="A14" s="25" t="inlineStr">
        <is>
          <t>B) DİĞER GİDER VARSAYIMLARI (DÜZENLENEBİLİR)</t>
        </is>
      </c>
    </row>
    <row r="15">
      <c r="A15" s="20" t="inlineStr">
        <is>
          <t>Gider kalemi</t>
        </is>
      </c>
      <c r="B15" s="20" t="inlineStr">
        <is>
          <t>Değer</t>
        </is>
      </c>
      <c r="C15" s="20" t="inlineStr">
        <is>
          <t>Birim</t>
        </is>
      </c>
      <c r="D15" s="20" t="inlineStr">
        <is>
          <t>Not</t>
        </is>
      </c>
    </row>
    <row r="16">
      <c r="A16" s="6" t="inlineStr">
        <is>
          <t>İşveren SGK+işsizlik oranı</t>
        </is>
      </c>
      <c r="B16" s="26" t="n">
        <v>0.225</v>
      </c>
      <c r="C16" s="6" t="inlineStr">
        <is>
          <t>oran</t>
        </is>
      </c>
      <c r="D16" s="6" t="inlineStr">
        <is>
          <t>Kabaca; teşvik/indirim MM ile netleşir</t>
        </is>
      </c>
    </row>
    <row r="17">
      <c r="A17" s="6" t="inlineStr">
        <is>
          <t>Bağ-Kur (şirket sahibi) aylık</t>
        </is>
      </c>
      <c r="B17" s="9" t="n">
        <v>10000</v>
      </c>
      <c r="C17" s="6" t="inlineStr">
        <is>
          <t>TL</t>
        </is>
      </c>
      <c r="D17" s="6" t="inlineStr">
        <is>
          <t>4B prim — sahip için</t>
        </is>
      </c>
    </row>
    <row r="18">
      <c r="A18" s="6" t="inlineStr">
        <is>
          <t>Muhasebe aylık</t>
        </is>
      </c>
      <c r="B18" s="9" t="n">
        <v>5000</v>
      </c>
      <c r="C18" s="6" t="inlineStr">
        <is>
          <t>TL</t>
        </is>
      </c>
      <c r="D18" s="6" t="inlineStr">
        <is>
          <t>Beyanname + defter</t>
        </is>
      </c>
    </row>
    <row r="19">
      <c r="A19" s="6" t="inlineStr">
        <is>
          <t>İSG / eğitim / MYB toplam</t>
        </is>
      </c>
      <c r="B19" s="9" t="n">
        <v>80000</v>
      </c>
      <c r="C19" s="6" t="inlineStr">
        <is>
          <t>TL</t>
        </is>
      </c>
      <c r="D19" s="6" t="inlineStr">
        <is>
          <t>Çok tehlikeli sınıf — dönem toplamı</t>
        </is>
      </c>
    </row>
    <row r="20">
      <c r="A20" s="6" t="inlineStr">
        <is>
          <t>Küçük sarf (malzeme hariç)</t>
        </is>
      </c>
      <c r="B20" s="9" t="n">
        <v>100000</v>
      </c>
      <c r="C20" s="6" t="inlineStr">
        <is>
          <t>TL</t>
        </is>
      </c>
      <c r="D20" s="6" t="inlineStr">
        <is>
          <t>Ekip küçüldüğü için düşürüldü</t>
        </is>
      </c>
    </row>
    <row r="21">
      <c r="A21" s="6" t="inlineStr">
        <is>
          <t>Ulaşım / iletişim / diğer</t>
        </is>
      </c>
      <c r="B21" s="9" t="n">
        <v>80000</v>
      </c>
      <c r="C21" s="6" t="inlineStr">
        <is>
          <t>TL</t>
        </is>
      </c>
      <c r="D21" s="6" t="inlineStr">
        <is>
          <t>Dönem toplamı</t>
        </is>
      </c>
    </row>
    <row r="22">
      <c r="A22" s="6" t="inlineStr">
        <is>
          <t>Sahip aylık geçim çekimi (opsiyonel)</t>
        </is>
      </c>
      <c r="B22" s="9" t="n">
        <v>40000</v>
      </c>
      <c r="C22" s="6" t="inlineStr">
        <is>
          <t>TL</t>
        </is>
      </c>
      <c r="D22" s="6" t="inlineStr">
        <is>
          <t>Kârdan çekim; vergi matrahını etkiler — MM ile</t>
        </is>
      </c>
    </row>
    <row r="23">
      <c r="A23" t="inlineStr">
        <is>
          <t>Süre (ay) — referans</t>
        </is>
      </c>
      <c r="B23" s="6" t="n">
        <v>6</v>
      </c>
    </row>
    <row r="25">
      <c r="A25" s="25" t="inlineStr">
        <is>
          <t>C) GELİR — GİDER — KÂR (KIRIK 450 SENARYOSU)</t>
        </is>
      </c>
    </row>
    <row r="26">
      <c r="A26" s="20" t="inlineStr">
        <is>
          <t>Kalem</t>
        </is>
      </c>
      <c r="B26" s="20" t="inlineStr">
        <is>
          <t>Tutar TL</t>
        </is>
      </c>
      <c r="C26" s="20" t="inlineStr">
        <is>
          <t>Hesap</t>
        </is>
      </c>
    </row>
    <row r="27">
      <c r="A27" s="6" t="inlineStr">
        <is>
          <t>Hakediş matrahı (gelir)</t>
        </is>
      </c>
      <c r="B27" s="9" t="n">
        <v>5298030</v>
      </c>
      <c r="C27" s="6" t="inlineStr">
        <is>
          <t>Kırık 11.773,4 × 450</t>
        </is>
      </c>
    </row>
    <row r="28">
      <c r="A28" s="6" t="inlineStr">
        <is>
          <t>Fatura tahsil (matrah+6/10 KDV)</t>
        </is>
      </c>
      <c r="B28" s="9" t="n">
        <v>5933793.6</v>
      </c>
      <c r="C28" s="6" t="inlineStr">
        <is>
          <t>Tahsilat referansı</t>
        </is>
      </c>
    </row>
    <row r="29">
      <c r="A29" s="6" t="inlineStr">
        <is>
          <t>4A ücretler toplamı</t>
        </is>
      </c>
      <c r="B29" s="9">
        <f>B12</f>
        <v/>
      </c>
      <c r="C29" s="6" t="inlineStr">
        <is>
          <t>2 usta + 3 çırak + 1 mühendis</t>
        </is>
      </c>
    </row>
    <row r="30">
      <c r="A30" s="6" t="inlineStr">
        <is>
          <t>İşveren SGK kabaca</t>
        </is>
      </c>
      <c r="B30" s="9">
        <f>B29*B16</f>
        <v/>
      </c>
      <c r="C30" s="6" t="inlineStr">
        <is>
          <t>Ücret × SGK oranı</t>
        </is>
      </c>
    </row>
    <row r="31">
      <c r="A31" s="6" t="inlineStr">
        <is>
          <t>Bağ-Kur toplam (sahip)</t>
        </is>
      </c>
      <c r="B31" s="9">
        <f>B17*B23</f>
        <v/>
      </c>
      <c r="C31" s="6" t="inlineStr">
        <is>
          <t>Aylık × süre</t>
        </is>
      </c>
    </row>
    <row r="32">
      <c r="A32" s="6" t="inlineStr">
        <is>
          <t>Muhasebe toplam</t>
        </is>
      </c>
      <c r="B32" s="9">
        <f>B18*B23</f>
        <v/>
      </c>
      <c r="C32" s="6" t="n"/>
    </row>
    <row r="33">
      <c r="A33" s="6" t="inlineStr">
        <is>
          <t>İSG / eğitim / MYB</t>
        </is>
      </c>
      <c r="B33" s="9">
        <f>B19</f>
        <v/>
      </c>
      <c r="C33" s="6" t="n"/>
    </row>
    <row r="34">
      <c r="A34" s="6" t="inlineStr">
        <is>
          <t>Sarf + ulaşım/diğer</t>
        </is>
      </c>
      <c r="B34" s="9">
        <f>B20+B21</f>
        <v/>
      </c>
      <c r="C34" s="6" t="n"/>
    </row>
    <row r="35">
      <c r="A35" s="6" t="inlineStr">
        <is>
          <t>Sahip geçim çekimi (opsiyonel)</t>
        </is>
      </c>
      <c r="B35" s="9">
        <f>B22*B23</f>
        <v/>
      </c>
      <c r="C35" s="6" t="inlineStr">
        <is>
          <t>Nakit çıkışı; ticari kâr hesabında ayrı gösterilir</t>
        </is>
      </c>
    </row>
    <row r="37">
      <c r="A37" s="21" t="inlineStr">
        <is>
          <t>TOPLAM İŞLETME GİDERİ (çekim hariç)</t>
        </is>
      </c>
      <c r="B37" s="27">
        <f>B29+B30+B31+B32+B33+B34</f>
        <v/>
      </c>
    </row>
    <row r="38">
      <c r="A38" t="inlineStr">
        <is>
          <t>TOPLAM NAKİT ÇIKIŞI (çekim dahil)</t>
        </is>
      </c>
      <c r="B38" s="22">
        <f>B37+B35</f>
        <v/>
      </c>
    </row>
    <row r="40">
      <c r="A40" s="23" t="inlineStr">
        <is>
          <t>TAHMİNİ TİCARİ KÂR (vergi öncesi, çekim hariç)</t>
        </is>
      </c>
      <c r="B40" s="24">
        <f>B27-B37</f>
        <v/>
      </c>
      <c r="C40" t="inlineStr">
        <is>
          <t>Matrah − işletme gideri</t>
        </is>
      </c>
    </row>
    <row r="41">
      <c r="A41" t="inlineStr">
        <is>
          <t>Kâr sonrası sahip çekimi sonrası kalan</t>
        </is>
      </c>
      <c r="B41" s="22">
        <f>B40-B35</f>
        <v/>
      </c>
    </row>
    <row r="43">
      <c r="A43" s="25" t="inlineStr">
        <is>
          <t>D) VERGİ KABACA (örnek — 2026 dilimleri MM ile teyit)</t>
        </is>
      </c>
    </row>
    <row r="44">
      <c r="A44" s="20" t="inlineStr">
        <is>
          <t>Kalem</t>
        </is>
      </c>
      <c r="B44" s="20" t="inlineStr">
        <is>
          <t>Tutar TL</t>
        </is>
      </c>
      <c r="C44" s="20" t="inlineStr">
        <is>
          <t>Not</t>
        </is>
      </c>
    </row>
    <row r="45">
      <c r="A45" s="6" t="inlineStr">
        <is>
          <t>Tahmini Gelir Vergisi (dilimli kabaca)</t>
        </is>
      </c>
      <c r="B45" s="9" t="n">
        <v>999752</v>
      </c>
      <c r="C45" s="6" t="inlineStr">
        <is>
          <t>B40 kârına göre kabaca; 2026 resmi dilimler MM ile güncellenir</t>
        </is>
      </c>
    </row>
    <row r="46">
      <c r="A46" s="6" t="inlineStr">
        <is>
          <t>Geçici vergi karşılığı (kabaca %15×kâr)</t>
        </is>
      </c>
      <c r="B46" s="9">
        <f>B40*0.15</f>
        <v/>
      </c>
      <c r="C46" s="6" t="inlineStr">
        <is>
          <t>3’er aylık beyan; GV’den mahsup</t>
        </is>
      </c>
    </row>
    <row r="47">
      <c r="A47" s="6" t="inlineStr">
        <is>
          <t>Damga / beyanname (yıllık kabaca)</t>
        </is>
      </c>
      <c r="B47" s="9" t="n">
        <v>12000</v>
      </c>
      <c r="C47" s="6" t="inlineStr">
        <is>
          <t>Aylık damga + muhtasar vb.</t>
        </is>
      </c>
    </row>
    <row r="48">
      <c r="A48" s="28" t="inlineStr">
        <is>
          <t>NET KÂR (GV + damga sonrası, çekim öncesi kabaca)</t>
        </is>
      </c>
      <c r="B48" s="29">
        <f>B40-B45-B47</f>
        <v/>
      </c>
      <c r="C48" s="6" t="inlineStr">
        <is>
          <t>Bağ-Kur zaten giderde; sahip çekimi ayrıca</t>
        </is>
      </c>
    </row>
    <row r="49">
      <c r="A49" s="6" t="inlineStr">
        <is>
          <t>Sahip çekimi sonrası net kalan (kabaca)</t>
        </is>
      </c>
      <c r="B49" s="9">
        <f>B48-B35</f>
        <v/>
      </c>
      <c r="C49" s="6" t="n"/>
    </row>
    <row r="51">
      <c r="A51" s="25" t="inlineStr">
        <is>
          <t>E) DÜZ 750 İLE AYNI EKİP / GİDERDE KÂR</t>
        </is>
      </c>
    </row>
    <row r="52">
      <c r="A52" s="6" t="inlineStr">
        <is>
          <t>Düz matrah</t>
        </is>
      </c>
      <c r="B52" s="9" t="n">
        <v>8471775</v>
      </c>
    </row>
    <row r="53">
      <c r="A53" s="6" t="inlineStr">
        <is>
          <t>Aynı işletme gideri (çekim hariç)</t>
        </is>
      </c>
      <c r="B53" s="9">
        <f>B37</f>
        <v/>
      </c>
    </row>
    <row r="54">
      <c r="A54" s="6" t="inlineStr">
        <is>
          <t>Vergi öncesi kâr</t>
        </is>
      </c>
      <c r="B54" s="29">
        <f>B52-B53</f>
        <v/>
      </c>
    </row>
    <row r="56">
      <c r="A56" s="30" t="inlineStr">
        <is>
          <t>UYARI: Ücret, SGK oranları, GV dilimleri ve geçici vergi 2026 güncel mevzuata göre mali müşavir tarafından revize edilmelidir. Çıraklar için çıraklık / burs / asgari ücret istisnaları ayrıca değerlendirilir. Bu sayfa karar destek simülasyonudur.</t>
        </is>
      </c>
    </row>
    <row r="58">
      <c r="A58" s="25" t="inlineStr">
        <is>
          <t>F) EKİP ÖZETİ</t>
        </is>
      </c>
    </row>
    <row r="59">
      <c r="A59" t="inlineStr">
        <is>
          <t>Şantiye ekibi (4A)</t>
        </is>
      </c>
      <c r="B59" t="inlineStr">
        <is>
          <t>2 usta + 3 çırak + 1 mühendis = 6 kişi</t>
        </is>
      </c>
    </row>
    <row r="60">
      <c r="A60" t="inlineStr">
        <is>
          <t>Şirket yönetimi</t>
        </is>
      </c>
      <c r="B60" t="inlineStr">
        <is>
          <t>Şirket sahibi (4B Bağ-Kur) — maaşlı değil</t>
        </is>
      </c>
    </row>
    <row r="61">
      <c r="A61" t="inlineStr">
        <is>
          <t>Toplam insan kaynağı</t>
        </is>
      </c>
      <c r="B61" t="inlineStr">
        <is>
          <t>7 kişi (6 sigortalı işçi/mühendis + 1 sahip)</t>
        </is>
      </c>
    </row>
  </sheetData>
  <mergeCells count="3">
    <mergeCell ref="A56:H56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14" customWidth="1" min="4" max="4"/>
  </cols>
  <sheetData>
    <row r="1">
      <c r="A1" s="1" t="inlineStr">
        <is>
          <t>SGK / İSG / VERGİ UYUM KONTROL LİSTESİ (SEÇENEK A)</t>
        </is>
      </c>
    </row>
    <row r="3">
      <c r="A3" s="4" t="inlineStr">
        <is>
          <t>Alan</t>
        </is>
      </c>
      <c r="B3" s="4" t="inlineStr">
        <is>
          <t>Kontrol Maddesi</t>
        </is>
      </c>
      <c r="C3" s="4" t="inlineStr">
        <is>
          <t>Önem</t>
        </is>
      </c>
      <c r="D3" s="4" t="inlineStr">
        <is>
          <t>Durum (✓/✗)</t>
        </is>
      </c>
    </row>
    <row r="4">
      <c r="A4" s="6" t="inlineStr">
        <is>
          <t>SGK</t>
        </is>
      </c>
      <c r="B4" s="6" t="inlineStr">
        <is>
          <t>Şahıs şirketi işyeri sicil/SGK işveren kaydı açık</t>
        </is>
      </c>
      <c r="C4" s="18" t="inlineStr">
        <is>
          <t>Zorunlu</t>
        </is>
      </c>
      <c r="D4" s="6" t="inlineStr"/>
    </row>
    <row r="5">
      <c r="A5" s="6" t="inlineStr">
        <is>
          <t>SGK</t>
        </is>
      </c>
      <c r="B5" s="6" t="inlineStr">
        <is>
          <t>Şantiye SGK müdürlüğünde müteahhit dosyası altında Aracı No alındı</t>
        </is>
      </c>
      <c r="C5" s="18" t="inlineStr">
        <is>
          <t>Zorunlu</t>
        </is>
      </c>
      <c r="D5" s="6" t="inlineStr"/>
    </row>
    <row r="6">
      <c r="A6" s="6" t="inlineStr">
        <is>
          <t>SGK</t>
        </is>
      </c>
      <c r="B6" s="6" t="inlineStr">
        <is>
          <t>Tüm işçilerin 4A girişleri şahıs şirketi üzerinden yapıldı</t>
        </is>
      </c>
      <c r="C6" s="18" t="inlineStr">
        <is>
          <t>Zorunlu</t>
        </is>
      </c>
      <c r="D6" s="6" t="inlineStr"/>
    </row>
    <row r="7">
      <c r="A7" s="6" t="inlineStr">
        <is>
          <t>SGK</t>
        </is>
      </c>
      <c r="B7" s="6" t="inlineStr">
        <is>
          <t>Müteahhitte sigortalı + size fatura modeli KULLANILMIYOR</t>
        </is>
      </c>
      <c r="C7" s="18" t="inlineStr">
        <is>
          <t>Zorunlu</t>
        </is>
      </c>
      <c r="D7" s="6" t="inlineStr"/>
    </row>
    <row r="8">
      <c r="A8" s="6" t="inlineStr">
        <is>
          <t>İSG</t>
        </is>
      </c>
      <c r="B8" s="6" t="inlineStr">
        <is>
          <t>Çok tehlikeli sınıf İSG yükümlülükleri (risk analizi, İSG uzmanı/hekim)</t>
        </is>
      </c>
      <c r="C8" s="18" t="inlineStr">
        <is>
          <t>Zorunlu</t>
        </is>
      </c>
      <c r="D8" s="6" t="inlineStr"/>
    </row>
    <row r="9">
      <c r="A9" s="6" t="inlineStr">
        <is>
          <t>İSG</t>
        </is>
      </c>
      <c r="B9" s="6" t="inlineStr">
        <is>
          <t>Yüksekte çalışma eğitimleri güncel</t>
        </is>
      </c>
      <c r="C9" s="18" t="inlineStr">
        <is>
          <t>Zorunlu</t>
        </is>
      </c>
      <c r="D9" s="6" t="inlineStr"/>
    </row>
    <row r="10">
      <c r="A10" s="6" t="inlineStr">
        <is>
          <t>İSG</t>
        </is>
      </c>
      <c r="B10" s="6" t="inlineStr">
        <is>
          <t>Mesleki Yeterlilik Belgesi (MYB) — kalıp/iskele ilgili</t>
        </is>
      </c>
      <c r="C10" s="18" t="inlineStr">
        <is>
          <t>Zorunlu</t>
        </is>
      </c>
      <c r="D10" s="6" t="inlineStr"/>
    </row>
    <row r="11">
      <c r="A11" s="6" t="inlineStr">
        <is>
          <t>İSG</t>
        </is>
      </c>
      <c r="B11" s="6" t="inlineStr">
        <is>
          <t>KKD teslim tutanakları</t>
        </is>
      </c>
      <c r="C11" s="18" t="inlineStr">
        <is>
          <t>Zorunlu</t>
        </is>
      </c>
      <c r="D11" s="6" t="inlineStr"/>
    </row>
    <row r="12">
      <c r="A12" s="6" t="inlineStr">
        <is>
          <t>Sözleşme</t>
        </is>
      </c>
      <c r="B12" s="6" t="inlineStr">
        <is>
          <t>Yazılı taşeronluk sözleşmesi imzalı</t>
        </is>
      </c>
      <c r="C12" s="18" t="inlineStr">
        <is>
          <t>Zorunlu</t>
        </is>
      </c>
      <c r="D12" s="6" t="inlineStr"/>
    </row>
    <row r="13">
      <c r="A13" s="6" t="inlineStr">
        <is>
          <t>Sözleşme</t>
        </is>
      </c>
      <c r="B13" s="6" t="inlineStr">
        <is>
          <t>Ölçü yöntemi (kırık/düz) ve birim fiyat net</t>
        </is>
      </c>
      <c r="C13" s="18" t="inlineStr">
        <is>
          <t>Zorunlu</t>
        </is>
      </c>
      <c r="D13" s="6" t="inlineStr"/>
    </row>
    <row r="14">
      <c r="A14" s="6" t="inlineStr">
        <is>
          <t>Fatura</t>
        </is>
      </c>
      <c r="B14" s="6" t="inlineStr">
        <is>
          <t>Hakediş + e-Arşiv/e-Fatura, KDV tevkifatı 4/10 işlendi</t>
        </is>
      </c>
      <c r="C14" s="18" t="inlineStr">
        <is>
          <t>Zorunlu</t>
        </is>
      </c>
      <c r="D14" s="6" t="inlineStr"/>
    </row>
    <row r="15">
      <c r="A15" s="6" t="inlineStr">
        <is>
          <t>Fatura</t>
        </is>
      </c>
      <c r="B15" s="6" t="inlineStr">
        <is>
          <t>NACE 43.99.05 ve iş tanımı faturada yazıyor</t>
        </is>
      </c>
      <c r="C15" s="18" t="inlineStr">
        <is>
          <t>Zorunlu</t>
        </is>
      </c>
      <c r="D15" s="6" t="inlineStr"/>
    </row>
    <row r="16">
      <c r="A16" s="6" t="inlineStr">
        <is>
          <t>Vergi</t>
        </is>
      </c>
      <c r="B16" s="6" t="inlineStr">
        <is>
          <t>Muhtasar+SGK, KDV, geçici vergi takvimi mali müşavirde</t>
        </is>
      </c>
      <c r="C16" s="18" t="inlineStr">
        <is>
          <t>Zorunlu</t>
        </is>
      </c>
      <c r="D16" s="6" t="inlineStr"/>
    </row>
    <row r="17">
      <c r="A17" s="6" t="inlineStr">
        <is>
          <t>Vergi</t>
        </is>
      </c>
      <c r="B17" s="6" t="inlineStr">
        <is>
          <t>Bağ-Kur primleri güncel</t>
        </is>
      </c>
      <c r="C17" s="18" t="inlineStr">
        <is>
          <t>Zorunlu</t>
        </is>
      </c>
      <c r="D17" s="6" t="inlineStr"/>
    </row>
    <row r="18">
      <c r="A18" s="6" t="inlineStr">
        <is>
          <t>Saha</t>
        </is>
      </c>
      <c r="B18" s="6" t="inlineStr">
        <is>
          <t>Hakediş metraj tutanağı (çift imza)</t>
        </is>
      </c>
      <c r="C18" s="6" t="inlineStr">
        <is>
          <t>Önerilir</t>
        </is>
      </c>
      <c r="D18" s="6" t="inlineStr"/>
    </row>
    <row r="19">
      <c r="A19" s="6" t="inlineStr">
        <is>
          <t>Saha</t>
        </is>
      </c>
      <c r="B19" s="6" t="inlineStr">
        <is>
          <t>Günlük devam/puantaj</t>
        </is>
      </c>
      <c r="C19" s="6" t="inlineStr">
        <is>
          <t>Önerilir</t>
        </is>
      </c>
      <c r="D19" s="6" t="inlineStr"/>
    </row>
    <row r="20">
      <c r="A20" s="6" t="inlineStr">
        <is>
          <t>SGK</t>
        </is>
      </c>
      <c r="B20" s="6" t="inlineStr">
        <is>
          <t>Ekip: 2 usta + 3 çırak + 1 mühendis 4A girişleri şahıs şirketinde</t>
        </is>
      </c>
      <c r="C20" s="6" t="inlineStr">
        <is>
          <t>Zorunlu</t>
        </is>
      </c>
      <c r="D20" s="6" t="inlineStr"/>
    </row>
    <row r="21">
      <c r="A21" s="6" t="inlineStr">
        <is>
          <t>SGK</t>
        </is>
      </c>
      <c r="B21" s="6" t="inlineStr">
        <is>
          <t>Şirket sahibi 4B Bağ-Kur; maaşlı 4A gibi gösterilmiyor</t>
        </is>
      </c>
      <c r="C21" s="6" t="inlineStr">
        <is>
          <t>Zorunlu</t>
        </is>
      </c>
      <c r="D21" s="6" t="inlineStr"/>
    </row>
    <row r="22">
      <c r="A22" s="6" t="inlineStr">
        <is>
          <t>SGK</t>
        </is>
      </c>
      <c r="B22" s="6" t="inlineStr">
        <is>
          <t>Çıraklar için uygun sözleşme / bildirge tipi MM ile doğrulandı</t>
        </is>
      </c>
      <c r="C22" s="6" t="inlineStr">
        <is>
          <t>Önerilir</t>
        </is>
      </c>
      <c r="D22" s="6" t="inlineStr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6" customWidth="1" min="3" max="3"/>
    <col width="10" customWidth="1" min="4" max="4"/>
    <col width="18" customWidth="1" min="5" max="5"/>
    <col width="14" customWidth="1" min="6" max="6"/>
    <col width="10" customWidth="1" min="7" max="7"/>
    <col width="18" customWidth="1" min="8" max="8"/>
  </cols>
  <sheetData>
    <row r="1">
      <c r="A1" s="19" t="inlineStr">
        <is>
          <t>DÖNEMSEL HAKEDİŞ ŞABLONU (Seçenek A — tevkifat 4/10)</t>
        </is>
      </c>
    </row>
    <row r="2">
      <c r="A2" t="inlineStr">
        <is>
          <t>Proje: Karşıyaka Ortaokulu | Ölçü: [ ] Kırık 450  [ ] Düz 750 | Dönem: ____ / ____</t>
        </is>
      </c>
    </row>
    <row r="4">
      <c r="A4" s="20" t="inlineStr">
        <is>
          <t>Sıra</t>
        </is>
      </c>
      <c r="B4" s="20" t="inlineStr">
        <is>
          <t>Poz</t>
        </is>
      </c>
      <c r="C4" s="20" t="inlineStr">
        <is>
          <t>Tarifi</t>
        </is>
      </c>
      <c r="D4" s="20" t="inlineStr">
        <is>
          <t>Birim</t>
        </is>
      </c>
      <c r="E4" s="20" t="inlineStr">
        <is>
          <t>Önceki kümülatif m²</t>
        </is>
      </c>
      <c r="F4" s="20" t="inlineStr">
        <is>
          <t>Bu dönem m²</t>
        </is>
      </c>
      <c r="G4" s="20" t="inlineStr">
        <is>
          <t>BF TL</t>
        </is>
      </c>
      <c r="H4" s="20" t="inlineStr">
        <is>
          <t>Bu dönem tutar TL</t>
        </is>
      </c>
    </row>
    <row r="5">
      <c r="A5" s="6" t="n">
        <v>1</v>
      </c>
      <c r="B5" s="6" t="n"/>
      <c r="C5" s="6" t="n"/>
      <c r="D5" s="6" t="inlineStr">
        <is>
          <t>m²</t>
        </is>
      </c>
      <c r="E5" s="6" t="n"/>
      <c r="F5" s="6" t="n"/>
      <c r="G5" s="6" t="n"/>
      <c r="H5" s="6">
        <f>IF(OR(F5="",G5=""),"",F5*G5)</f>
        <v/>
      </c>
    </row>
    <row r="6">
      <c r="A6" s="6" t="n">
        <v>2</v>
      </c>
      <c r="B6" s="6" t="n"/>
      <c r="C6" s="6" t="n"/>
      <c r="D6" s="6" t="inlineStr">
        <is>
          <t>m²</t>
        </is>
      </c>
      <c r="E6" s="6" t="n"/>
      <c r="F6" s="6" t="n"/>
      <c r="G6" s="6" t="n"/>
      <c r="H6" s="6">
        <f>IF(OR(F6="",G6=""),"",F6*G6)</f>
        <v/>
      </c>
    </row>
    <row r="7">
      <c r="A7" s="6" t="n">
        <v>3</v>
      </c>
      <c r="B7" s="6" t="n"/>
      <c r="C7" s="6" t="n"/>
      <c r="D7" s="6" t="inlineStr">
        <is>
          <t>m²</t>
        </is>
      </c>
      <c r="E7" s="6" t="n"/>
      <c r="F7" s="6" t="n"/>
      <c r="G7" s="6" t="n"/>
      <c r="H7" s="6">
        <f>IF(OR(F7="",G7=""),"",F7*G7)</f>
        <v/>
      </c>
    </row>
    <row r="8">
      <c r="A8" s="6" t="n">
        <v>4</v>
      </c>
      <c r="B8" s="6" t="n"/>
      <c r="C8" s="6" t="n"/>
      <c r="D8" s="6" t="inlineStr">
        <is>
          <t>m²</t>
        </is>
      </c>
      <c r="E8" s="6" t="n"/>
      <c r="F8" s="6" t="n"/>
      <c r="G8" s="6" t="n"/>
      <c r="H8" s="6">
        <f>IF(OR(F8="",G8=""),"",F8*G8)</f>
        <v/>
      </c>
    </row>
    <row r="9">
      <c r="A9" s="6" t="n">
        <v>5</v>
      </c>
      <c r="B9" s="6" t="n"/>
      <c r="C9" s="6" t="n"/>
      <c r="D9" s="6" t="inlineStr">
        <is>
          <t>m²</t>
        </is>
      </c>
      <c r="E9" s="6" t="n"/>
      <c r="F9" s="6" t="n"/>
      <c r="G9" s="6" t="n"/>
      <c r="H9" s="6">
        <f>IF(OR(F9="",G9=""),"",F9*G9)</f>
        <v/>
      </c>
    </row>
    <row r="10">
      <c r="A10" s="6" t="n">
        <v>6</v>
      </c>
      <c r="B10" s="6" t="n"/>
      <c r="C10" s="6" t="n"/>
      <c r="D10" s="6" t="inlineStr">
        <is>
          <t>m²</t>
        </is>
      </c>
      <c r="E10" s="6" t="n"/>
      <c r="F10" s="6" t="n"/>
      <c r="G10" s="6" t="n"/>
      <c r="H10" s="6">
        <f>IF(OR(F10="",G10=""),"",F10*G10)</f>
        <v/>
      </c>
    </row>
    <row r="11">
      <c r="A11" s="6" t="n">
        <v>7</v>
      </c>
      <c r="B11" s="6" t="n"/>
      <c r="C11" s="6" t="n"/>
      <c r="D11" s="6" t="inlineStr">
        <is>
          <t>m²</t>
        </is>
      </c>
      <c r="E11" s="6" t="n"/>
      <c r="F11" s="6" t="n"/>
      <c r="G11" s="6" t="n"/>
      <c r="H11" s="6">
        <f>IF(OR(F11="",G11=""),"",F11*G11)</f>
        <v/>
      </c>
    </row>
    <row r="12">
      <c r="A12" s="6" t="n">
        <v>8</v>
      </c>
      <c r="B12" s="6" t="n"/>
      <c r="C12" s="6" t="n"/>
      <c r="D12" s="6" t="inlineStr">
        <is>
          <t>m²</t>
        </is>
      </c>
      <c r="E12" s="6" t="n"/>
      <c r="F12" s="6" t="n"/>
      <c r="G12" s="6" t="n"/>
      <c r="H12" s="6">
        <f>IF(OR(F12="",G12=""),"",F12*G12)</f>
        <v/>
      </c>
    </row>
    <row r="13">
      <c r="A13" s="6" t="n">
        <v>9</v>
      </c>
      <c r="B13" s="6" t="n"/>
      <c r="C13" s="6" t="n"/>
      <c r="D13" s="6" t="inlineStr">
        <is>
          <t>m²</t>
        </is>
      </c>
      <c r="E13" s="6" t="n"/>
      <c r="F13" s="6" t="n"/>
      <c r="G13" s="6" t="n"/>
      <c r="H13" s="6">
        <f>IF(OR(F13="",G13=""),"",F13*G13)</f>
        <v/>
      </c>
    </row>
    <row r="14">
      <c r="A14" s="6" t="n">
        <v>10</v>
      </c>
      <c r="B14" s="6" t="n"/>
      <c r="C14" s="6" t="n"/>
      <c r="D14" s="6" t="inlineStr">
        <is>
          <t>m²</t>
        </is>
      </c>
      <c r="E14" s="6" t="n"/>
      <c r="F14" s="6" t="n"/>
      <c r="G14" s="6" t="n"/>
      <c r="H14" s="6">
        <f>IF(OR(F14="",G14=""),"",F14*G14)</f>
        <v/>
      </c>
    </row>
    <row r="16">
      <c r="A16" s="21" t="inlineStr">
        <is>
          <t>Bu dönem matrah (KDV hariç)</t>
        </is>
      </c>
      <c r="H16" s="22">
        <f>SUM(H5:H14)</f>
        <v/>
      </c>
    </row>
    <row r="17">
      <c r="A17" s="21" t="inlineStr">
        <is>
          <t>Hesaplanan KDV %20</t>
        </is>
      </c>
      <c r="H17" s="22">
        <f>H16*0.20</f>
        <v/>
      </c>
    </row>
    <row r="18">
      <c r="A18" s="21" t="inlineStr">
        <is>
          <t>Tevkifat 4/10 (müteahhit)</t>
        </is>
      </c>
      <c r="H18" s="22">
        <f>H17*0.4</f>
        <v/>
      </c>
    </row>
    <row r="19">
      <c r="A19" s="21" t="inlineStr">
        <is>
          <t>Tahsil KDV 6/10</t>
        </is>
      </c>
      <c r="H19" s="22">
        <f>H17*0.6</f>
        <v/>
      </c>
    </row>
    <row r="20">
      <c r="A20" s="23" t="inlineStr">
        <is>
          <t>FATURA TAHSİL (matrah + 6/10 KDV)</t>
        </is>
      </c>
      <c r="H20" s="24">
        <f>H16+H19</f>
        <v/>
      </c>
    </row>
    <row r="22">
      <c r="A22" t="inlineStr">
        <is>
          <t>İŞVEREN imza / kaşe</t>
        </is>
      </c>
      <c r="D22" t="inlineStr">
        <is>
          <t>TAŞERON imza / kaşe</t>
        </is>
      </c>
    </row>
    <row r="23">
      <c r="A23" t="inlineStr">
        <is>
          <t>Tarih: __________</t>
        </is>
      </c>
      <c r="D23" t="inlineStr">
        <is>
          <t>Tarih: __________</t>
        </is>
      </c>
    </row>
    <row r="25">
      <c r="A25" t="inlineStr">
        <is>
          <t>Not: Bu dönem m² çift imzalı saha tutanağından alınır. Kümülatif kontrol için önceki hakedişlerle karşılaştırınız.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2026-08-10T22:07:20Z</dcterms:created>
  <dcterms:modified xsi:type="dcterms:W3CDTF">2026-08-10T22:10:21Z</dcterms:modified>
</cp:coreProperties>
</file>